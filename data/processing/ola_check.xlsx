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OR\Documents\2026\github\FiscalPolicyAnalysis\data\processing\"/>
    </mc:Choice>
  </mc:AlternateContent>
  <xr:revisionPtr revIDLastSave="0" documentId="13_ncr:1_{11CF9675-4E75-4392-897C-24DD70496D77}" xr6:coauthVersionLast="47" xr6:coauthVersionMax="47" xr10:uidLastSave="{00000000-0000-0000-0000-000000000000}"/>
  <bookViews>
    <workbookView xWindow="-120" yWindow="-120" windowWidth="28200" windowHeight="14475" activeTab="2" xr2:uid="{00000000-000D-0000-FFFF-FFFF00000000}"/>
  </bookViews>
  <sheets>
    <sheet name="Quarterly_data" sheetId="1" r:id="rId1"/>
    <sheet name="GDP" sheetId="7" r:id="rId2"/>
    <sheet name="flow" sheetId="2" r:id="rId3"/>
    <sheet name="stock" sheetId="4" r:id="rId4"/>
    <sheet name="i" sheetId="5" r:id="rId5"/>
    <sheet name="cp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2" i="4" l="1"/>
  <c r="D82" i="4"/>
  <c r="F82" i="4" s="1"/>
  <c r="E81" i="4"/>
  <c r="D81" i="4"/>
  <c r="F81" i="4" s="1"/>
  <c r="E82" i="2"/>
  <c r="D82" i="2"/>
  <c r="F82" i="2" s="1"/>
  <c r="E81" i="2"/>
  <c r="D81" i="2"/>
  <c r="F81" i="2" s="1"/>
  <c r="C82" i="6"/>
  <c r="C81" i="6"/>
  <c r="C82" i="5"/>
  <c r="D82" i="5" s="1"/>
  <c r="C81" i="5"/>
  <c r="D81" i="5" s="1"/>
  <c r="C81" i="7"/>
  <c r="D81" i="7" s="1"/>
  <c r="C82" i="7"/>
  <c r="D82" i="7" s="1"/>
  <c r="E80" i="4"/>
  <c r="D80" i="4"/>
  <c r="F80" i="4" s="1"/>
  <c r="E80" i="2"/>
  <c r="D80" i="2"/>
  <c r="F80" i="2" s="1"/>
  <c r="C80" i="6"/>
  <c r="C80" i="5"/>
  <c r="D80" i="5" s="1"/>
  <c r="C80" i="7"/>
  <c r="C1" i="5"/>
  <c r="D1" i="4"/>
  <c r="D1" i="2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D41" i="7" s="1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D21" i="7" s="1"/>
  <c r="C16" i="7"/>
  <c r="C15" i="7"/>
  <c r="C14" i="7"/>
  <c r="C13" i="7"/>
  <c r="C12" i="7"/>
  <c r="C11" i="7"/>
  <c r="C10" i="7"/>
  <c r="C9" i="7"/>
  <c r="C8" i="7"/>
  <c r="C7" i="7"/>
  <c r="C6" i="7"/>
  <c r="C5" i="7"/>
  <c r="C1" i="7"/>
  <c r="D1" i="7" s="1"/>
  <c r="C79" i="6"/>
  <c r="C78" i="6"/>
  <c r="C77" i="6"/>
  <c r="D81" i="6" s="1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D40" i="6" s="1"/>
  <c r="C35" i="6"/>
  <c r="C34" i="6"/>
  <c r="C33" i="6"/>
  <c r="C32" i="6"/>
  <c r="C31" i="6"/>
  <c r="C30" i="6"/>
  <c r="C29" i="6"/>
  <c r="C28" i="6"/>
  <c r="D32" i="6" s="1"/>
  <c r="C27" i="6"/>
  <c r="C26" i="6"/>
  <c r="C25" i="6"/>
  <c r="C24" i="6"/>
  <c r="C23" i="6"/>
  <c r="C22" i="6"/>
  <c r="C21" i="6"/>
  <c r="C20" i="6"/>
  <c r="C19" i="6"/>
  <c r="C18" i="6"/>
  <c r="C17" i="6"/>
  <c r="C16" i="6"/>
  <c r="D20" i="6" s="1"/>
  <c r="C15" i="6"/>
  <c r="C14" i="6"/>
  <c r="C13" i="6"/>
  <c r="C12" i="6"/>
  <c r="C11" i="6"/>
  <c r="C10" i="6"/>
  <c r="C9" i="6"/>
  <c r="C8" i="6"/>
  <c r="D12" i="6" s="1"/>
  <c r="C7" i="6"/>
  <c r="C6" i="6"/>
  <c r="C1" i="6"/>
  <c r="C79" i="5"/>
  <c r="D79" i="5" s="1"/>
  <c r="C78" i="5"/>
  <c r="D78" i="5" s="1"/>
  <c r="C77" i="5"/>
  <c r="D77" i="5" s="1"/>
  <c r="C76" i="5"/>
  <c r="D76" i="5" s="1"/>
  <c r="C75" i="5"/>
  <c r="D75" i="5" s="1"/>
  <c r="C74" i="5"/>
  <c r="D74" i="5" s="1"/>
  <c r="C73" i="5"/>
  <c r="D73" i="5" s="1"/>
  <c r="C72" i="5"/>
  <c r="D72" i="5" s="1"/>
  <c r="C71" i="5"/>
  <c r="D71" i="5" s="1"/>
  <c r="C70" i="5"/>
  <c r="D70" i="5" s="1"/>
  <c r="C69" i="5"/>
  <c r="D69" i="5" s="1"/>
  <c r="C68" i="5"/>
  <c r="D68" i="5" s="1"/>
  <c r="C67" i="5"/>
  <c r="D67" i="5" s="1"/>
  <c r="C66" i="5"/>
  <c r="D66" i="5" s="1"/>
  <c r="C65" i="5"/>
  <c r="D65" i="5" s="1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D79" i="4"/>
  <c r="F79" i="4" s="1"/>
  <c r="D78" i="4"/>
  <c r="F78" i="4" s="1"/>
  <c r="D77" i="4"/>
  <c r="F77" i="4" s="1"/>
  <c r="D76" i="4"/>
  <c r="D75" i="4"/>
  <c r="D74" i="4"/>
  <c r="D73" i="4"/>
  <c r="F73" i="4" s="1"/>
  <c r="D72" i="4"/>
  <c r="F72" i="4" s="1"/>
  <c r="D71" i="4"/>
  <c r="F71" i="4" s="1"/>
  <c r="D70" i="4"/>
  <c r="F70" i="4" s="1"/>
  <c r="D69" i="4"/>
  <c r="F69" i="4" s="1"/>
  <c r="D68" i="4"/>
  <c r="D67" i="4"/>
  <c r="D66" i="4"/>
  <c r="D65" i="4"/>
  <c r="D64" i="4"/>
  <c r="D63" i="4"/>
  <c r="D62" i="4"/>
  <c r="D61" i="4"/>
  <c r="D60" i="4"/>
  <c r="D59" i="4"/>
  <c r="F59" i="4" s="1"/>
  <c r="D58" i="4"/>
  <c r="D57" i="4"/>
  <c r="F57" i="4" s="1"/>
  <c r="D56" i="4"/>
  <c r="F56" i="4" s="1"/>
  <c r="D55" i="4"/>
  <c r="D54" i="4"/>
  <c r="F54" i="4" s="1"/>
  <c r="D53" i="4"/>
  <c r="D52" i="4"/>
  <c r="D51" i="4"/>
  <c r="D50" i="4"/>
  <c r="F50" i="4" s="1"/>
  <c r="D49" i="4"/>
  <c r="F49" i="4" s="1"/>
  <c r="D48" i="4"/>
  <c r="F48" i="4" s="1"/>
  <c r="D47" i="4"/>
  <c r="F47" i="4" s="1"/>
  <c r="D46" i="4"/>
  <c r="D45" i="4"/>
  <c r="D44" i="4"/>
  <c r="D43" i="4"/>
  <c r="D42" i="4"/>
  <c r="D41" i="4"/>
  <c r="D40" i="4"/>
  <c r="F40" i="4" s="1"/>
  <c r="D39" i="4"/>
  <c r="F39" i="4" s="1"/>
  <c r="D38" i="4"/>
  <c r="F38" i="4" s="1"/>
  <c r="D37" i="4"/>
  <c r="F37" i="4" s="1"/>
  <c r="D36" i="4"/>
  <c r="F36" i="4" s="1"/>
  <c r="D35" i="4"/>
  <c r="D34" i="4"/>
  <c r="D33" i="4"/>
  <c r="F33" i="4" s="1"/>
  <c r="D32" i="4"/>
  <c r="F32" i="4" s="1"/>
  <c r="D31" i="4"/>
  <c r="F31" i="4" s="1"/>
  <c r="D30" i="4"/>
  <c r="F30" i="4" s="1"/>
  <c r="D29" i="4"/>
  <c r="D28" i="4"/>
  <c r="D27" i="4"/>
  <c r="D26" i="4"/>
  <c r="D25" i="4"/>
  <c r="D24" i="4"/>
  <c r="D23" i="4"/>
  <c r="D22" i="4"/>
  <c r="D21" i="4"/>
  <c r="F21" i="4" s="1"/>
  <c r="D20" i="4"/>
  <c r="F20" i="4" s="1"/>
  <c r="D19" i="4"/>
  <c r="F19" i="4" s="1"/>
  <c r="D18" i="4"/>
  <c r="F18" i="4" s="1"/>
  <c r="D17" i="4"/>
  <c r="F17" i="4" s="1"/>
  <c r="D16" i="4"/>
  <c r="D15" i="4"/>
  <c r="D14" i="4"/>
  <c r="F14" i="4" s="1"/>
  <c r="D13" i="4"/>
  <c r="F13" i="4" s="1"/>
  <c r="D12" i="4"/>
  <c r="F12" i="4" s="1"/>
  <c r="D11" i="4"/>
  <c r="F11" i="4" s="1"/>
  <c r="D10" i="4"/>
  <c r="D9" i="4"/>
  <c r="D8" i="4"/>
  <c r="D7" i="4"/>
  <c r="D6" i="4"/>
  <c r="D5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D79" i="2"/>
  <c r="D78" i="2"/>
  <c r="D77" i="2"/>
  <c r="F77" i="2" s="1"/>
  <c r="D76" i="2"/>
  <c r="D75" i="2"/>
  <c r="D74" i="2"/>
  <c r="F74" i="2" s="1"/>
  <c r="D73" i="2"/>
  <c r="F73" i="2" s="1"/>
  <c r="D72" i="2"/>
  <c r="F72" i="2" s="1"/>
  <c r="D71" i="2"/>
  <c r="F71" i="2" s="1"/>
  <c r="D70" i="2"/>
  <c r="D69" i="2"/>
  <c r="D68" i="2"/>
  <c r="D67" i="2"/>
  <c r="D66" i="2"/>
  <c r="D65" i="2"/>
  <c r="D64" i="2"/>
  <c r="F64" i="2" s="1"/>
  <c r="D63" i="2"/>
  <c r="F63" i="2" s="1"/>
  <c r="D62" i="2"/>
  <c r="D61" i="2"/>
  <c r="F61" i="2" s="1"/>
  <c r="D60" i="2"/>
  <c r="F60" i="2" s="1"/>
  <c r="D59" i="2"/>
  <c r="D58" i="2"/>
  <c r="D57" i="2"/>
  <c r="F57" i="2" s="1"/>
  <c r="D56" i="2"/>
  <c r="D55" i="2"/>
  <c r="D54" i="2"/>
  <c r="F54" i="2" s="1"/>
  <c r="D53" i="2"/>
  <c r="F53" i="2" s="1"/>
  <c r="D52" i="2"/>
  <c r="F52" i="2" s="1"/>
  <c r="D51" i="2"/>
  <c r="F51" i="2" s="1"/>
  <c r="D50" i="2"/>
  <c r="D49" i="2"/>
  <c r="D48" i="2"/>
  <c r="D47" i="2"/>
  <c r="D46" i="2"/>
  <c r="D45" i="2"/>
  <c r="D44" i="2"/>
  <c r="F44" i="2" s="1"/>
  <c r="D43" i="2"/>
  <c r="F43" i="2" s="1"/>
  <c r="D42" i="2"/>
  <c r="D41" i="2"/>
  <c r="F41" i="2" s="1"/>
  <c r="D40" i="2"/>
  <c r="F40" i="2" s="1"/>
  <c r="D39" i="2"/>
  <c r="D38" i="2"/>
  <c r="D37" i="2"/>
  <c r="F37" i="2" s="1"/>
  <c r="D36" i="2"/>
  <c r="D35" i="2"/>
  <c r="D34" i="2"/>
  <c r="F34" i="2" s="1"/>
  <c r="D33" i="2"/>
  <c r="F33" i="2" s="1"/>
  <c r="D32" i="2"/>
  <c r="F32" i="2" s="1"/>
  <c r="D31" i="2"/>
  <c r="F31" i="2" s="1"/>
  <c r="D30" i="2"/>
  <c r="D29" i="2"/>
  <c r="D28" i="2"/>
  <c r="D27" i="2"/>
  <c r="D26" i="2"/>
  <c r="D25" i="2"/>
  <c r="D24" i="2"/>
  <c r="F24" i="2" s="1"/>
  <c r="D23" i="2"/>
  <c r="F23" i="2" s="1"/>
  <c r="D22" i="2"/>
  <c r="D21" i="2"/>
  <c r="F21" i="2" s="1"/>
  <c r="D20" i="2"/>
  <c r="F20" i="2" s="1"/>
  <c r="D19" i="2"/>
  <c r="D18" i="2"/>
  <c r="D17" i="2"/>
  <c r="F17" i="2" s="1"/>
  <c r="D16" i="2"/>
  <c r="D15" i="2"/>
  <c r="D14" i="2"/>
  <c r="F14" i="2" s="1"/>
  <c r="D13" i="2"/>
  <c r="F13" i="2" s="1"/>
  <c r="D12" i="2"/>
  <c r="F12" i="2" s="1"/>
  <c r="D11" i="2"/>
  <c r="F11" i="2" s="1"/>
  <c r="D10" i="2"/>
  <c r="D9" i="2"/>
  <c r="D8" i="2"/>
  <c r="D7" i="2"/>
  <c r="D6" i="2"/>
  <c r="D5" i="2"/>
  <c r="F5" i="2" s="1"/>
  <c r="D22" i="7" l="1"/>
  <c r="D42" i="7"/>
  <c r="D62" i="7"/>
  <c r="D82" i="6"/>
  <c r="E81" i="6"/>
  <c r="E82" i="6"/>
  <c r="D72" i="6"/>
  <c r="G81" i="4"/>
  <c r="H81" i="4" s="1"/>
  <c r="G82" i="4"/>
  <c r="H82" i="4" s="1"/>
  <c r="D16" i="6"/>
  <c r="E16" i="6" s="1"/>
  <c r="D19" i="6"/>
  <c r="E19" i="6" s="1"/>
  <c r="D39" i="6"/>
  <c r="E39" i="6" s="1"/>
  <c r="D79" i="6"/>
  <c r="E79" i="6" s="1"/>
  <c r="D60" i="6"/>
  <c r="E60" i="6" s="1"/>
  <c r="D80" i="6"/>
  <c r="D28" i="7"/>
  <c r="D80" i="7"/>
  <c r="D54" i="7"/>
  <c r="E80" i="6"/>
  <c r="D27" i="7"/>
  <c r="D23" i="7"/>
  <c r="D43" i="7"/>
  <c r="D63" i="7"/>
  <c r="D34" i="7"/>
  <c r="D60" i="7"/>
  <c r="E64" i="7" s="1"/>
  <c r="F64" i="7" s="1"/>
  <c r="D61" i="7"/>
  <c r="D74" i="7"/>
  <c r="D14" i="7"/>
  <c r="D58" i="7"/>
  <c r="D59" i="7"/>
  <c r="E63" i="7" s="1"/>
  <c r="F63" i="7" s="1"/>
  <c r="D44" i="7"/>
  <c r="D64" i="7"/>
  <c r="E65" i="7" s="1"/>
  <c r="D25" i="7"/>
  <c r="E26" i="7" s="1"/>
  <c r="D45" i="7"/>
  <c r="D65" i="7"/>
  <c r="D26" i="7"/>
  <c r="D46" i="7"/>
  <c r="D66" i="7"/>
  <c r="D47" i="7"/>
  <c r="D67" i="7"/>
  <c r="D48" i="7"/>
  <c r="D68" i="7"/>
  <c r="D29" i="6"/>
  <c r="E29" i="6" s="1"/>
  <c r="D49" i="6"/>
  <c r="E49" i="6" s="1"/>
  <c r="D69" i="6"/>
  <c r="E69" i="6" s="1"/>
  <c r="D75" i="6"/>
  <c r="E75" i="6" s="1"/>
  <c r="D28" i="6"/>
  <c r="E28" i="6" s="1"/>
  <c r="D48" i="6"/>
  <c r="E48" i="6" s="1"/>
  <c r="D68" i="6"/>
  <c r="E68" i="6" s="1"/>
  <c r="D18" i="6"/>
  <c r="E18" i="6" s="1"/>
  <c r="D38" i="6"/>
  <c r="E38" i="6" s="1"/>
  <c r="D78" i="6"/>
  <c r="E78" i="6" s="1"/>
  <c r="E12" i="6"/>
  <c r="D13" i="6"/>
  <c r="E13" i="6" s="1"/>
  <c r="D14" i="6"/>
  <c r="E14" i="6" s="1"/>
  <c r="E72" i="6"/>
  <c r="D54" i="6"/>
  <c r="E54" i="6" s="1"/>
  <c r="D73" i="6"/>
  <c r="E73" i="6" s="1"/>
  <c r="D74" i="6"/>
  <c r="E74" i="6" s="1"/>
  <c r="E32" i="6"/>
  <c r="D33" i="6"/>
  <c r="E33" i="6" s="1"/>
  <c r="F74" i="4"/>
  <c r="G75" i="4" s="1"/>
  <c r="F55" i="4"/>
  <c r="D55" i="6"/>
  <c r="E55" i="6" s="1"/>
  <c r="D56" i="6"/>
  <c r="E56" i="6" s="1"/>
  <c r="D57" i="6"/>
  <c r="E57" i="6" s="1"/>
  <c r="D58" i="6"/>
  <c r="E58" i="6" s="1"/>
  <c r="D59" i="6"/>
  <c r="E59" i="6" s="1"/>
  <c r="D62" i="6"/>
  <c r="E62" i="6" s="1"/>
  <c r="E20" i="6"/>
  <c r="E40" i="6"/>
  <c r="D66" i="6"/>
  <c r="E66" i="6" s="1"/>
  <c r="D23" i="6"/>
  <c r="E23" i="6" s="1"/>
  <c r="D45" i="6"/>
  <c r="E45" i="6" s="1"/>
  <c r="D65" i="6"/>
  <c r="E65" i="6" s="1"/>
  <c r="D27" i="6"/>
  <c r="E27" i="6" s="1"/>
  <c r="D47" i="6"/>
  <c r="E47" i="6" s="1"/>
  <c r="D67" i="6"/>
  <c r="E67" i="6" s="1"/>
  <c r="D15" i="6"/>
  <c r="E15" i="6" s="1"/>
  <c r="D17" i="6"/>
  <c r="E17" i="6" s="1"/>
  <c r="D76" i="6"/>
  <c r="E76" i="6" s="1"/>
  <c r="D77" i="6"/>
  <c r="E77" i="6" s="1"/>
  <c r="D22" i="6"/>
  <c r="E22" i="6" s="1"/>
  <c r="D37" i="6"/>
  <c r="E37" i="6" s="1"/>
  <c r="D36" i="6"/>
  <c r="E36" i="6" s="1"/>
  <c r="D42" i="6"/>
  <c r="E42" i="6" s="1"/>
  <c r="D29" i="7"/>
  <c r="D31" i="7"/>
  <c r="D71" i="7"/>
  <c r="D52" i="7"/>
  <c r="D73" i="7"/>
  <c r="D9" i="7"/>
  <c r="D49" i="7"/>
  <c r="D69" i="7"/>
  <c r="D11" i="7"/>
  <c r="D51" i="7"/>
  <c r="D12" i="7"/>
  <c r="D32" i="7"/>
  <c r="D72" i="7"/>
  <c r="D13" i="7"/>
  <c r="D33" i="7"/>
  <c r="D53" i="7"/>
  <c r="D16" i="7"/>
  <c r="D36" i="7"/>
  <c r="D56" i="7"/>
  <c r="D76" i="7"/>
  <c r="D57" i="7"/>
  <c r="D77" i="7"/>
  <c r="D78" i="7"/>
  <c r="D79" i="7"/>
  <c r="D24" i="7"/>
  <c r="E25" i="7" s="1"/>
  <c r="D40" i="7"/>
  <c r="E44" i="7" s="1"/>
  <c r="D38" i="7"/>
  <c r="F41" i="4"/>
  <c r="G42" i="4" s="1"/>
  <c r="F60" i="4"/>
  <c r="F42" i="2"/>
  <c r="G45" i="2" s="1"/>
  <c r="D44" i="6"/>
  <c r="E44" i="6" s="1"/>
  <c r="D46" i="6"/>
  <c r="E46" i="6" s="1"/>
  <c r="F25" i="2"/>
  <c r="F45" i="2"/>
  <c r="F65" i="2"/>
  <c r="D10" i="6"/>
  <c r="E10" i="6" s="1"/>
  <c r="D30" i="6"/>
  <c r="E30" i="6" s="1"/>
  <c r="D50" i="6"/>
  <c r="E50" i="6" s="1"/>
  <c r="D70" i="6"/>
  <c r="E70" i="6" s="1"/>
  <c r="D52" i="6"/>
  <c r="E52" i="6" s="1"/>
  <c r="D39" i="7"/>
  <c r="F6" i="4"/>
  <c r="F26" i="4"/>
  <c r="F46" i="4"/>
  <c r="G50" i="4" s="1"/>
  <c r="H50" i="4" s="1"/>
  <c r="F66" i="4"/>
  <c r="D11" i="6"/>
  <c r="E11" i="6" s="1"/>
  <c r="D31" i="6"/>
  <c r="E31" i="6" s="1"/>
  <c r="D51" i="6"/>
  <c r="E51" i="6" s="1"/>
  <c r="D71" i="6"/>
  <c r="E71" i="6" s="1"/>
  <c r="D53" i="6"/>
  <c r="E53" i="6" s="1"/>
  <c r="F58" i="4"/>
  <c r="G60" i="4" s="1"/>
  <c r="H60" i="4" s="1"/>
  <c r="D37" i="7"/>
  <c r="F28" i="4"/>
  <c r="F68" i="4"/>
  <c r="G72" i="4" s="1"/>
  <c r="H72" i="4" s="1"/>
  <c r="F29" i="4"/>
  <c r="D24" i="6"/>
  <c r="E24" i="6" s="1"/>
  <c r="F30" i="2"/>
  <c r="G34" i="2" s="1"/>
  <c r="H34" i="2" s="1"/>
  <c r="F70" i="2"/>
  <c r="G74" i="2" s="1"/>
  <c r="H74" i="2" s="1"/>
  <c r="F10" i="4"/>
  <c r="G14" i="4" s="1"/>
  <c r="H14" i="4" s="1"/>
  <c r="D25" i="6"/>
  <c r="E25" i="6" s="1"/>
  <c r="D26" i="6"/>
  <c r="E26" i="6" s="1"/>
  <c r="D18" i="7"/>
  <c r="F52" i="4"/>
  <c r="D19" i="7"/>
  <c r="F61" i="4"/>
  <c r="D43" i="6"/>
  <c r="E43" i="6" s="1"/>
  <c r="D35" i="7"/>
  <c r="F22" i="2"/>
  <c r="G25" i="2" s="1"/>
  <c r="F62" i="2"/>
  <c r="G64" i="2" s="1"/>
  <c r="H64" i="2" s="1"/>
  <c r="F27" i="4"/>
  <c r="F67" i="4"/>
  <c r="D75" i="7"/>
  <c r="F8" i="4"/>
  <c r="D15" i="7"/>
  <c r="F9" i="4"/>
  <c r="F10" i="2"/>
  <c r="F50" i="2"/>
  <c r="D17" i="7"/>
  <c r="F51" i="4"/>
  <c r="G52" i="4" s="1"/>
  <c r="F53" i="4"/>
  <c r="D20" i="7"/>
  <c r="D34" i="6"/>
  <c r="E34" i="6" s="1"/>
  <c r="D63" i="6"/>
  <c r="E63" i="6" s="1"/>
  <c r="D55" i="7"/>
  <c r="F15" i="2"/>
  <c r="G16" i="2" s="1"/>
  <c r="F35" i="2"/>
  <c r="F55" i="2"/>
  <c r="F75" i="2"/>
  <c r="G76" i="2" s="1"/>
  <c r="D35" i="6"/>
  <c r="E35" i="6" s="1"/>
  <c r="D64" i="6"/>
  <c r="E64" i="6" s="1"/>
  <c r="F16" i="2"/>
  <c r="F36" i="2"/>
  <c r="F56" i="2"/>
  <c r="F76" i="2"/>
  <c r="F16" i="4"/>
  <c r="F76" i="4"/>
  <c r="G80" i="4" s="1"/>
  <c r="H80" i="4" s="1"/>
  <c r="D10" i="7"/>
  <c r="D30" i="7"/>
  <c r="D50" i="7"/>
  <c r="D70" i="7"/>
  <c r="F18" i="2"/>
  <c r="F38" i="2"/>
  <c r="F58" i="2"/>
  <c r="F78" i="2"/>
  <c r="F34" i="4"/>
  <c r="G35" i="4" s="1"/>
  <c r="F19" i="2"/>
  <c r="G22" i="2" s="1"/>
  <c r="F39" i="2"/>
  <c r="F59" i="2"/>
  <c r="G61" i="2" s="1"/>
  <c r="H61" i="2" s="1"/>
  <c r="F79" i="2"/>
  <c r="F15" i="4"/>
  <c r="F35" i="4"/>
  <c r="G38" i="4" s="1"/>
  <c r="H38" i="4" s="1"/>
  <c r="F75" i="4"/>
  <c r="G76" i="4" s="1"/>
  <c r="D21" i="6"/>
  <c r="E21" i="6" s="1"/>
  <c r="D41" i="6"/>
  <c r="E41" i="6" s="1"/>
  <c r="D61" i="6"/>
  <c r="E61" i="6" s="1"/>
  <c r="F26" i="2"/>
  <c r="F46" i="2"/>
  <c r="F42" i="4"/>
  <c r="F7" i="2"/>
  <c r="F47" i="2"/>
  <c r="F23" i="4"/>
  <c r="F43" i="4"/>
  <c r="F63" i="4"/>
  <c r="F6" i="2"/>
  <c r="F66" i="2"/>
  <c r="F22" i="4"/>
  <c r="G23" i="4" s="1"/>
  <c r="H23" i="4" s="1"/>
  <c r="F62" i="4"/>
  <c r="F27" i="2"/>
  <c r="F67" i="2"/>
  <c r="F8" i="2"/>
  <c r="F28" i="2"/>
  <c r="F48" i="2"/>
  <c r="F68" i="2"/>
  <c r="F24" i="4"/>
  <c r="F44" i="4"/>
  <c r="F64" i="4"/>
  <c r="F9" i="2"/>
  <c r="F29" i="2"/>
  <c r="F49" i="2"/>
  <c r="F69" i="2"/>
  <c r="F5" i="4"/>
  <c r="F25" i="4"/>
  <c r="F45" i="4"/>
  <c r="F65" i="4"/>
  <c r="G35" i="2"/>
  <c r="G55" i="2"/>
  <c r="G56" i="2"/>
  <c r="G15" i="2"/>
  <c r="H15" i="2" s="1"/>
  <c r="G75" i="2"/>
  <c r="F7" i="4"/>
  <c r="G41" i="4"/>
  <c r="H41" i="4" s="1"/>
  <c r="G58" i="4"/>
  <c r="G40" i="4"/>
  <c r="H40" i="4" s="1"/>
  <c r="G34" i="4"/>
  <c r="G74" i="4"/>
  <c r="G73" i="4"/>
  <c r="H73" i="4" s="1"/>
  <c r="G21" i="4"/>
  <c r="H21" i="4" s="1"/>
  <c r="G22" i="4"/>
  <c r="G15" i="4"/>
  <c r="G51" i="4"/>
  <c r="G82" i="2" l="1"/>
  <c r="H82" i="2" s="1"/>
  <c r="E81" i="7"/>
  <c r="F81" i="7" s="1"/>
  <c r="E20" i="7"/>
  <c r="E82" i="7"/>
  <c r="F82" i="7" s="1"/>
  <c r="G28" i="4"/>
  <c r="H74" i="4"/>
  <c r="G80" i="2"/>
  <c r="H80" i="2" s="1"/>
  <c r="G49" i="4"/>
  <c r="H49" i="4" s="1"/>
  <c r="G81" i="2"/>
  <c r="H81" i="2" s="1"/>
  <c r="H35" i="2"/>
  <c r="H55" i="2"/>
  <c r="E29" i="7"/>
  <c r="E62" i="7"/>
  <c r="F62" i="7" s="1"/>
  <c r="E80" i="7"/>
  <c r="F80" i="7"/>
  <c r="G10" i="4"/>
  <c r="H10" i="4" s="1"/>
  <c r="G57" i="4"/>
  <c r="H57" i="4" s="1"/>
  <c r="G13" i="4"/>
  <c r="H13" i="4" s="1"/>
  <c r="G31" i="4"/>
  <c r="H31" i="4" s="1"/>
  <c r="G43" i="4"/>
  <c r="H43" i="4" s="1"/>
  <c r="H52" i="4"/>
  <c r="G38" i="2"/>
  <c r="H38" i="2" s="1"/>
  <c r="H16" i="2"/>
  <c r="G33" i="2"/>
  <c r="H33" i="2" s="1"/>
  <c r="E69" i="7"/>
  <c r="F26" i="7"/>
  <c r="G67" i="2"/>
  <c r="H67" i="2" s="1"/>
  <c r="E48" i="7"/>
  <c r="F48" i="7" s="1"/>
  <c r="E66" i="7"/>
  <c r="F66" i="7" s="1"/>
  <c r="E46" i="7"/>
  <c r="F46" i="7" s="1"/>
  <c r="E45" i="7"/>
  <c r="F45" i="7" s="1"/>
  <c r="F29" i="7"/>
  <c r="F44" i="7"/>
  <c r="E40" i="7"/>
  <c r="F40" i="7" s="1"/>
  <c r="E37" i="7"/>
  <c r="F37" i="7" s="1"/>
  <c r="E49" i="7"/>
  <c r="F49" i="7" s="1"/>
  <c r="F65" i="7"/>
  <c r="E47" i="7"/>
  <c r="F47" i="7" s="1"/>
  <c r="E77" i="7"/>
  <c r="F77" i="7" s="1"/>
  <c r="E78" i="7"/>
  <c r="F78" i="7" s="1"/>
  <c r="E61" i="7"/>
  <c r="F61" i="7" s="1"/>
  <c r="H25" i="2"/>
  <c r="G79" i="2"/>
  <c r="H79" i="2" s="1"/>
  <c r="G58" i="2"/>
  <c r="H58" i="2" s="1"/>
  <c r="G37" i="2"/>
  <c r="H37" i="2" s="1"/>
  <c r="H75" i="2"/>
  <c r="E60" i="7"/>
  <c r="F60" i="7" s="1"/>
  <c r="E30" i="7"/>
  <c r="F30" i="7" s="1"/>
  <c r="E18" i="7"/>
  <c r="F18" i="7" s="1"/>
  <c r="E16" i="7"/>
  <c r="F16" i="7" s="1"/>
  <c r="E38" i="7"/>
  <c r="F38" i="7" s="1"/>
  <c r="E76" i="7"/>
  <c r="F76" i="7" s="1"/>
  <c r="E36" i="7"/>
  <c r="F36" i="7" s="1"/>
  <c r="E55" i="7"/>
  <c r="F55" i="7" s="1"/>
  <c r="E56" i="7"/>
  <c r="F56" i="7" s="1"/>
  <c r="F25" i="7"/>
  <c r="E70" i="7"/>
  <c r="F70" i="7" s="1"/>
  <c r="E50" i="7"/>
  <c r="F50" i="7" s="1"/>
  <c r="E51" i="7"/>
  <c r="F51" i="7" s="1"/>
  <c r="E68" i="7"/>
  <c r="F68" i="7" s="1"/>
  <c r="E67" i="7"/>
  <c r="F67" i="7" s="1"/>
  <c r="E31" i="7"/>
  <c r="F31" i="7" s="1"/>
  <c r="H76" i="4"/>
  <c r="H35" i="4"/>
  <c r="G27" i="4"/>
  <c r="H27" i="4" s="1"/>
  <c r="G12" i="4"/>
  <c r="H12" i="4" s="1"/>
  <c r="G65" i="4"/>
  <c r="H65" i="4" s="1"/>
  <c r="G77" i="4"/>
  <c r="H77" i="4" s="1"/>
  <c r="G53" i="4"/>
  <c r="H53" i="4" s="1"/>
  <c r="G66" i="4"/>
  <c r="H66" i="4" s="1"/>
  <c r="G64" i="4"/>
  <c r="H64" i="4" s="1"/>
  <c r="G24" i="4"/>
  <c r="H24" i="4" s="1"/>
  <c r="G63" i="4"/>
  <c r="H63" i="4" s="1"/>
  <c r="G36" i="4"/>
  <c r="H36" i="4" s="1"/>
  <c r="H42" i="4"/>
  <c r="G56" i="4"/>
  <c r="H56" i="4" s="1"/>
  <c r="G69" i="4"/>
  <c r="H69" i="4" s="1"/>
  <c r="G68" i="4"/>
  <c r="H68" i="4" s="1"/>
  <c r="G44" i="4"/>
  <c r="H44" i="4" s="1"/>
  <c r="G67" i="4"/>
  <c r="H67" i="4" s="1"/>
  <c r="G26" i="4"/>
  <c r="H26" i="4" s="1"/>
  <c r="G29" i="4"/>
  <c r="H29" i="4" s="1"/>
  <c r="G47" i="4"/>
  <c r="H47" i="4" s="1"/>
  <c r="G30" i="4"/>
  <c r="H30" i="4" s="1"/>
  <c r="H28" i="4"/>
  <c r="G54" i="4"/>
  <c r="H54" i="4" s="1"/>
  <c r="G18" i="4"/>
  <c r="H18" i="4" s="1"/>
  <c r="G17" i="4"/>
  <c r="H17" i="4" s="1"/>
  <c r="G32" i="4"/>
  <c r="H32" i="4" s="1"/>
  <c r="H51" i="4"/>
  <c r="H34" i="4"/>
  <c r="G73" i="2"/>
  <c r="H73" i="2" s="1"/>
  <c r="H22" i="2"/>
  <c r="G72" i="2"/>
  <c r="H72" i="2" s="1"/>
  <c r="G47" i="2"/>
  <c r="H47" i="2" s="1"/>
  <c r="H45" i="2"/>
  <c r="G27" i="2"/>
  <c r="H27" i="2" s="1"/>
  <c r="G43" i="2"/>
  <c r="H43" i="2" s="1"/>
  <c r="G23" i="2"/>
  <c r="H23" i="2" s="1"/>
  <c r="G62" i="2"/>
  <c r="H62" i="2" s="1"/>
  <c r="G49" i="2"/>
  <c r="H49" i="2" s="1"/>
  <c r="G32" i="2"/>
  <c r="H32" i="2" s="1"/>
  <c r="G12" i="2"/>
  <c r="H12" i="2" s="1"/>
  <c r="G71" i="2"/>
  <c r="H71" i="2" s="1"/>
  <c r="G48" i="2"/>
  <c r="H48" i="2" s="1"/>
  <c r="G30" i="2"/>
  <c r="H30" i="2" s="1"/>
  <c r="G24" i="2"/>
  <c r="H24" i="2" s="1"/>
  <c r="G53" i="2"/>
  <c r="H53" i="2" s="1"/>
  <c r="G57" i="2"/>
  <c r="H57" i="2" s="1"/>
  <c r="G13" i="2"/>
  <c r="H13" i="2" s="1"/>
  <c r="G66" i="2"/>
  <c r="H66" i="2" s="1"/>
  <c r="G44" i="2"/>
  <c r="H44" i="2" s="1"/>
  <c r="G70" i="2"/>
  <c r="H70" i="2" s="1"/>
  <c r="H76" i="2"/>
  <c r="G46" i="2"/>
  <c r="H46" i="2" s="1"/>
  <c r="G10" i="2"/>
  <c r="H10" i="2" s="1"/>
  <c r="G26" i="2"/>
  <c r="H26" i="2" s="1"/>
  <c r="G77" i="2"/>
  <c r="H77" i="2" s="1"/>
  <c r="G63" i="2"/>
  <c r="H63" i="2" s="1"/>
  <c r="G65" i="2"/>
  <c r="H65" i="2" s="1"/>
  <c r="G50" i="2"/>
  <c r="H50" i="2" s="1"/>
  <c r="E17" i="7"/>
  <c r="F17" i="7" s="1"/>
  <c r="E75" i="7"/>
  <c r="F75" i="7" s="1"/>
  <c r="E27" i="7"/>
  <c r="F27" i="7" s="1"/>
  <c r="E28" i="7"/>
  <c r="F28" i="7" s="1"/>
  <c r="F69" i="7"/>
  <c r="E71" i="7"/>
  <c r="F71" i="7" s="1"/>
  <c r="E15" i="7"/>
  <c r="F15" i="7" s="1"/>
  <c r="E57" i="7"/>
  <c r="F57" i="7" s="1"/>
  <c r="E35" i="7"/>
  <c r="F35" i="7" s="1"/>
  <c r="G37" i="4"/>
  <c r="H37" i="4" s="1"/>
  <c r="E21" i="7"/>
  <c r="F21" i="7" s="1"/>
  <c r="G9" i="2"/>
  <c r="H9" i="2" s="1"/>
  <c r="G39" i="4"/>
  <c r="H39" i="4" s="1"/>
  <c r="G33" i="4"/>
  <c r="H33" i="4" s="1"/>
  <c r="G78" i="2"/>
  <c r="H78" i="2" s="1"/>
  <c r="E39" i="7"/>
  <c r="G61" i="4"/>
  <c r="H61" i="4" s="1"/>
  <c r="G69" i="2"/>
  <c r="H69" i="2" s="1"/>
  <c r="G29" i="2"/>
  <c r="H29" i="2" s="1"/>
  <c r="G41" i="2"/>
  <c r="H41" i="2" s="1"/>
  <c r="G70" i="4"/>
  <c r="H70" i="4" s="1"/>
  <c r="G19" i="4"/>
  <c r="H19" i="4" s="1"/>
  <c r="H15" i="4"/>
  <c r="G68" i="2"/>
  <c r="H68" i="2" s="1"/>
  <c r="G62" i="4"/>
  <c r="H62" i="4" s="1"/>
  <c r="G14" i="2"/>
  <c r="H14" i="2" s="1"/>
  <c r="G42" i="2"/>
  <c r="H42" i="2" s="1"/>
  <c r="G25" i="4"/>
  <c r="H25" i="4" s="1"/>
  <c r="G21" i="2"/>
  <c r="H21" i="2" s="1"/>
  <c r="G16" i="4"/>
  <c r="H16" i="4" s="1"/>
  <c r="G52" i="2"/>
  <c r="H52" i="2" s="1"/>
  <c r="G40" i="2"/>
  <c r="H40" i="2" s="1"/>
  <c r="G20" i="2"/>
  <c r="H20" i="2" s="1"/>
  <c r="G18" i="2"/>
  <c r="H18" i="2" s="1"/>
  <c r="F19" i="7"/>
  <c r="E23" i="7"/>
  <c r="F23" i="7" s="1"/>
  <c r="F39" i="7"/>
  <c r="E43" i="7"/>
  <c r="F43" i="7" s="1"/>
  <c r="G48" i="4"/>
  <c r="H48" i="4" s="1"/>
  <c r="G11" i="4"/>
  <c r="H11" i="4" s="1"/>
  <c r="G78" i="4"/>
  <c r="H78" i="4" s="1"/>
  <c r="G51" i="2"/>
  <c r="H51" i="2" s="1"/>
  <c r="G54" i="2"/>
  <c r="H54" i="2" s="1"/>
  <c r="G79" i="4"/>
  <c r="H79" i="4" s="1"/>
  <c r="G20" i="4"/>
  <c r="H20" i="4" s="1"/>
  <c r="H75" i="4"/>
  <c r="G31" i="2"/>
  <c r="H31" i="2" s="1"/>
  <c r="E22" i="7"/>
  <c r="F22" i="7" s="1"/>
  <c r="G71" i="4"/>
  <c r="H71" i="4" s="1"/>
  <c r="G46" i="4"/>
  <c r="H46" i="4" s="1"/>
  <c r="E19" i="7"/>
  <c r="G60" i="2"/>
  <c r="H60" i="2" s="1"/>
  <c r="E52" i="7"/>
  <c r="F52" i="7" s="1"/>
  <c r="E53" i="7"/>
  <c r="F53" i="7" s="1"/>
  <c r="E54" i="7"/>
  <c r="F54" i="7" s="1"/>
  <c r="G59" i="4"/>
  <c r="H59" i="4" s="1"/>
  <c r="G45" i="4"/>
  <c r="H45" i="4" s="1"/>
  <c r="G59" i="2"/>
  <c r="H59" i="2" s="1"/>
  <c r="G55" i="4"/>
  <c r="H55" i="4" s="1"/>
  <c r="E14" i="7"/>
  <c r="F14" i="7" s="1"/>
  <c r="E13" i="7"/>
  <c r="F13" i="7" s="1"/>
  <c r="G17" i="2"/>
  <c r="H17" i="2" s="1"/>
  <c r="E58" i="7"/>
  <c r="F58" i="7" s="1"/>
  <c r="E59" i="7"/>
  <c r="F59" i="7" s="1"/>
  <c r="G28" i="2"/>
  <c r="H28" i="2" s="1"/>
  <c r="E34" i="7"/>
  <c r="F34" i="7" s="1"/>
  <c r="E33" i="7"/>
  <c r="F33" i="7" s="1"/>
  <c r="H58" i="4"/>
  <c r="H56" i="2"/>
  <c r="G39" i="2"/>
  <c r="H39" i="2" s="1"/>
  <c r="E32" i="7"/>
  <c r="F32" i="7" s="1"/>
  <c r="E41" i="7"/>
  <c r="F41" i="7" s="1"/>
  <c r="E42" i="7"/>
  <c r="F42" i="7" s="1"/>
  <c r="G11" i="2"/>
  <c r="H11" i="2" s="1"/>
  <c r="E74" i="7"/>
  <c r="F74" i="7" s="1"/>
  <c r="E73" i="7"/>
  <c r="F73" i="7" s="1"/>
  <c r="E24" i="7"/>
  <c r="F24" i="7" s="1"/>
  <c r="F20" i="7"/>
  <c r="H22" i="4"/>
  <c r="E79" i="7"/>
  <c r="F79" i="7" s="1"/>
  <c r="G36" i="2"/>
  <c r="H36" i="2" s="1"/>
  <c r="G19" i="2"/>
  <c r="H19" i="2" s="1"/>
  <c r="E72" i="7"/>
  <c r="F72" i="7" s="1"/>
  <c r="G9" i="4"/>
  <c r="H9" i="4" s="1"/>
</calcChain>
</file>

<file path=xl/sharedStrings.xml><?xml version="1.0" encoding="utf-8"?>
<sst xmlns="http://schemas.openxmlformats.org/spreadsheetml/2006/main" count="47" uniqueCount="27">
  <si>
    <t>date</t>
  </si>
  <si>
    <t>e</t>
  </si>
  <si>
    <t>DPI</t>
  </si>
  <si>
    <t>DPE</t>
  </si>
  <si>
    <t>core_cpi</t>
  </si>
  <si>
    <t>GDP_nom</t>
  </si>
  <si>
    <t>Rem</t>
  </si>
  <si>
    <t>IPub</t>
  </si>
  <si>
    <t>BM</t>
  </si>
  <si>
    <t>Def</t>
  </si>
  <si>
    <t>i</t>
  </si>
  <si>
    <t>GDP_star</t>
  </si>
  <si>
    <t>GDP</t>
  </si>
  <si>
    <t>core_cpi_star</t>
  </si>
  <si>
    <t>AIN</t>
  </si>
  <si>
    <t>PREM</t>
  </si>
  <si>
    <t>ITotal</t>
  </si>
  <si>
    <t>IngT</t>
  </si>
  <si>
    <t>i_star</t>
  </si>
  <si>
    <t>GFun</t>
  </si>
  <si>
    <t>AEN</t>
  </si>
  <si>
    <t>IPriv</t>
  </si>
  <si>
    <t>ratio</t>
  </si>
  <si>
    <t>ratio_ola</t>
  </si>
  <si>
    <t>ola_var</t>
  </si>
  <si>
    <t>ola_avg</t>
  </si>
  <si>
    <t>GDP_SM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</si>
</sst>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opLeftCell="A50" workbookViewId="0">
      <selection activeCell="V1" sqref="V1:V82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38869</v>
      </c>
      <c r="B2">
        <v>7.5958416666666597</v>
      </c>
      <c r="C2">
        <v>17522.266666666601</v>
      </c>
      <c r="D2">
        <v>29349.333330000001</v>
      </c>
      <c r="E2">
        <v>150.01578670000001</v>
      </c>
      <c r="F2">
        <v>56810.3</v>
      </c>
      <c r="G2">
        <v>7261.45</v>
      </c>
      <c r="H2">
        <v>2065.1999999999998</v>
      </c>
      <c r="I2">
        <v>22913.683000000001</v>
      </c>
      <c r="J2">
        <v>333.8</v>
      </c>
      <c r="K2">
        <v>4.4515151519999998</v>
      </c>
      <c r="L2">
        <v>16396.151000000002</v>
      </c>
      <c r="M2">
        <v>79399.399999999994</v>
      </c>
      <c r="N2">
        <v>83.974999999999994</v>
      </c>
      <c r="O2">
        <v>-10550.9</v>
      </c>
      <c r="P2">
        <v>2.1147783090000001</v>
      </c>
      <c r="Q2">
        <v>11940.2</v>
      </c>
      <c r="R2">
        <v>6742.7</v>
      </c>
      <c r="S2">
        <v>4.91</v>
      </c>
      <c r="T2">
        <v>5011.3</v>
      </c>
      <c r="U2">
        <v>33464.582999999999</v>
      </c>
      <c r="V2">
        <v>9875</v>
      </c>
    </row>
    <row r="3" spans="1:22" x14ac:dyDescent="0.25">
      <c r="A3" s="1">
        <v>38961</v>
      </c>
      <c r="B3">
        <v>7.5975116666666596</v>
      </c>
      <c r="C3">
        <v>18761.866666666599</v>
      </c>
      <c r="D3">
        <v>29202.85</v>
      </c>
      <c r="E3">
        <v>151.6121067</v>
      </c>
      <c r="F3">
        <v>58936.3</v>
      </c>
      <c r="G3">
        <v>7056.78</v>
      </c>
      <c r="H3">
        <v>2763.9</v>
      </c>
      <c r="I3">
        <v>23163.563330000001</v>
      </c>
      <c r="J3">
        <v>1008.3</v>
      </c>
      <c r="K3">
        <v>4.9285714289999998</v>
      </c>
      <c r="L3">
        <v>16420.738000000001</v>
      </c>
      <c r="M3">
        <v>80781.3</v>
      </c>
      <c r="N3">
        <v>84.427000000000007</v>
      </c>
      <c r="O3">
        <v>-9798.8333330000005</v>
      </c>
      <c r="P3">
        <v>2.3118413040000001</v>
      </c>
      <c r="Q3">
        <v>11954.5</v>
      </c>
      <c r="R3">
        <v>7465.6</v>
      </c>
      <c r="S3">
        <v>5.25</v>
      </c>
      <c r="T3">
        <v>5710</v>
      </c>
      <c r="U3">
        <v>32962.396666666602</v>
      </c>
      <c r="V3">
        <v>9190.6</v>
      </c>
    </row>
    <row r="4" spans="1:22" x14ac:dyDescent="0.25">
      <c r="A4" s="1">
        <v>39052</v>
      </c>
      <c r="B4">
        <v>7.6095383333333304</v>
      </c>
      <c r="C4">
        <v>19969.433333333302</v>
      </c>
      <c r="D4">
        <v>29232.116669999999</v>
      </c>
      <c r="E4">
        <v>153.04777000000001</v>
      </c>
      <c r="F4">
        <v>62174.3</v>
      </c>
      <c r="G4">
        <v>7094.41</v>
      </c>
      <c r="H4">
        <v>5231.2299999999996</v>
      </c>
      <c r="I4">
        <v>25483.366669999999</v>
      </c>
      <c r="J4">
        <v>3000.2</v>
      </c>
      <c r="K4">
        <v>5</v>
      </c>
      <c r="L4">
        <v>16561.866000000002</v>
      </c>
      <c r="M4">
        <v>85047.2</v>
      </c>
      <c r="N4">
        <v>84.790999999999997</v>
      </c>
      <c r="O4">
        <v>-9171.5333329999994</v>
      </c>
      <c r="P4">
        <v>2.3129039680000001</v>
      </c>
      <c r="Q4">
        <v>12964.5</v>
      </c>
      <c r="R4">
        <v>8274.5</v>
      </c>
      <c r="S4">
        <v>5.24</v>
      </c>
      <c r="T4">
        <v>6043.5</v>
      </c>
      <c r="U4">
        <v>34654.9</v>
      </c>
      <c r="V4">
        <v>7733.27</v>
      </c>
    </row>
    <row r="5" spans="1:22" x14ac:dyDescent="0.25">
      <c r="A5" s="1">
        <v>39142</v>
      </c>
      <c r="B5">
        <v>7.7085900000000001</v>
      </c>
      <c r="C5">
        <v>20191.166666666599</v>
      </c>
      <c r="D5">
        <v>30353.616669999999</v>
      </c>
      <c r="E5">
        <v>156.38572669999999</v>
      </c>
      <c r="F5">
        <v>67591.7</v>
      </c>
      <c r="G5">
        <v>6834.25</v>
      </c>
      <c r="H5">
        <v>2386.4</v>
      </c>
      <c r="I5">
        <v>26451.533329999998</v>
      </c>
      <c r="J5">
        <v>-164.9</v>
      </c>
      <c r="K5">
        <v>5.0075757579999998</v>
      </c>
      <c r="L5">
        <v>16611.689999999999</v>
      </c>
      <c r="M5">
        <v>88341.8</v>
      </c>
      <c r="N5">
        <v>85.375</v>
      </c>
      <c r="O5">
        <v>-8398.1</v>
      </c>
      <c r="P5">
        <v>1.964036873</v>
      </c>
      <c r="Q5">
        <v>13303.5</v>
      </c>
      <c r="R5">
        <v>8092.7</v>
      </c>
      <c r="S5">
        <v>5.25</v>
      </c>
      <c r="T5">
        <v>5541.4</v>
      </c>
      <c r="U5">
        <v>34849.633333333302</v>
      </c>
      <c r="V5">
        <v>10917.1</v>
      </c>
    </row>
    <row r="6" spans="1:22" x14ac:dyDescent="0.25">
      <c r="A6" s="1">
        <v>39234</v>
      </c>
      <c r="B6">
        <v>7.6836500000000001</v>
      </c>
      <c r="C6">
        <v>21592.5666666666</v>
      </c>
      <c r="D6">
        <v>31854.38667</v>
      </c>
      <c r="E6">
        <v>158.50416999999999</v>
      </c>
      <c r="F6">
        <v>64074.5</v>
      </c>
      <c r="G6">
        <v>8321.14</v>
      </c>
      <c r="H6">
        <v>2867</v>
      </c>
      <c r="I6">
        <v>26713.633330000001</v>
      </c>
      <c r="J6">
        <v>796.9</v>
      </c>
      <c r="K6">
        <v>5.4285714289999998</v>
      </c>
      <c r="L6">
        <v>16713.313999999998</v>
      </c>
      <c r="M6">
        <v>85226.5</v>
      </c>
      <c r="N6">
        <v>85.730999999999995</v>
      </c>
      <c r="O6">
        <v>-10892.366669999999</v>
      </c>
      <c r="P6">
        <v>1.6972025980000001</v>
      </c>
      <c r="Q6">
        <v>13400.9</v>
      </c>
      <c r="R6">
        <v>7701.8</v>
      </c>
      <c r="S6">
        <v>5.25</v>
      </c>
      <c r="T6">
        <v>5631.7</v>
      </c>
      <c r="U6">
        <v>37606</v>
      </c>
      <c r="V6">
        <v>10533.9</v>
      </c>
    </row>
    <row r="7" spans="1:22" x14ac:dyDescent="0.25">
      <c r="A7" s="1">
        <v>39326</v>
      </c>
      <c r="B7">
        <v>7.7065366666666604</v>
      </c>
      <c r="C7">
        <v>23168.5333333333</v>
      </c>
      <c r="D7">
        <v>32216.586670000001</v>
      </c>
      <c r="E7">
        <v>160.74777330000001</v>
      </c>
      <c r="F7">
        <v>66701.7</v>
      </c>
      <c r="G7">
        <v>8392.25</v>
      </c>
      <c r="H7">
        <v>3394.3</v>
      </c>
      <c r="I7">
        <v>27702.533329999998</v>
      </c>
      <c r="J7">
        <v>2009.6</v>
      </c>
      <c r="K7">
        <v>5.5083333330000004</v>
      </c>
      <c r="L7">
        <v>16809.587</v>
      </c>
      <c r="M7">
        <v>85488.2</v>
      </c>
      <c r="N7">
        <v>86.152000000000001</v>
      </c>
      <c r="O7">
        <v>-10316.06667</v>
      </c>
      <c r="P7">
        <v>1.965086012</v>
      </c>
      <c r="Q7">
        <v>13791.2</v>
      </c>
      <c r="R7">
        <v>8356.2999999999993</v>
      </c>
      <c r="S7">
        <v>5.07</v>
      </c>
      <c r="T7">
        <v>6971.6</v>
      </c>
      <c r="U7">
        <v>38018.6</v>
      </c>
      <c r="V7">
        <v>10396.9</v>
      </c>
    </row>
    <row r="8" spans="1:22" x14ac:dyDescent="0.25">
      <c r="A8" s="1">
        <v>39417</v>
      </c>
      <c r="B8">
        <v>7.6706366666666597</v>
      </c>
      <c r="C8">
        <v>24214.433333333302</v>
      </c>
      <c r="D8">
        <v>31875.19</v>
      </c>
      <c r="E8">
        <v>163.45267999999999</v>
      </c>
      <c r="F8">
        <v>70455.899999999994</v>
      </c>
      <c r="G8">
        <v>8204.1299999999992</v>
      </c>
      <c r="H8">
        <v>3953.9</v>
      </c>
      <c r="I8">
        <v>28368.533329999998</v>
      </c>
      <c r="J8">
        <v>1130</v>
      </c>
      <c r="K8">
        <v>6.0156926410000002</v>
      </c>
      <c r="L8">
        <v>16915.190999999999</v>
      </c>
      <c r="M8">
        <v>89195</v>
      </c>
      <c r="N8">
        <v>86.747</v>
      </c>
      <c r="O8">
        <v>-10374.6</v>
      </c>
      <c r="P8">
        <v>2.1557742420000001</v>
      </c>
      <c r="Q8">
        <v>13177.2</v>
      </c>
      <c r="R8">
        <v>9459.7000000000007</v>
      </c>
      <c r="S8">
        <v>4.5</v>
      </c>
      <c r="T8">
        <v>6635.8</v>
      </c>
      <c r="U8">
        <v>38743.133333333302</v>
      </c>
      <c r="V8">
        <v>9223.2999999999993</v>
      </c>
    </row>
    <row r="9" spans="1:22" x14ac:dyDescent="0.25">
      <c r="A9" s="1">
        <v>39508</v>
      </c>
      <c r="B9">
        <v>7.7020166666666601</v>
      </c>
      <c r="C9">
        <v>24338.5333333333</v>
      </c>
      <c r="D9">
        <v>31750.06667</v>
      </c>
      <c r="E9">
        <v>168.3968433</v>
      </c>
      <c r="F9">
        <v>75225.8</v>
      </c>
      <c r="G9">
        <v>7494.72</v>
      </c>
      <c r="H9">
        <v>1790.2</v>
      </c>
      <c r="I9">
        <v>28466.133330000001</v>
      </c>
      <c r="J9">
        <v>-1398.5</v>
      </c>
      <c r="K9">
        <v>6.5119047620000003</v>
      </c>
      <c r="L9">
        <v>16843.003000000001</v>
      </c>
      <c r="M9">
        <v>90929.600000000006</v>
      </c>
      <c r="N9">
        <v>87.206999999999994</v>
      </c>
      <c r="O9">
        <v>-9780.5</v>
      </c>
      <c r="P9">
        <v>2.2647206350000002</v>
      </c>
      <c r="Q9">
        <v>13586</v>
      </c>
      <c r="R9">
        <v>8959.2999999999993</v>
      </c>
      <c r="S9">
        <v>3.18</v>
      </c>
      <c r="T9">
        <v>5770.6</v>
      </c>
      <c r="U9">
        <v>38246.633333333302</v>
      </c>
      <c r="V9">
        <v>11795.8</v>
      </c>
    </row>
    <row r="10" spans="1:22" x14ac:dyDescent="0.25">
      <c r="A10" s="1">
        <v>39600</v>
      </c>
      <c r="B10">
        <v>7.4891599999999903</v>
      </c>
      <c r="C10">
        <v>24976.233333333301</v>
      </c>
      <c r="D10">
        <v>31139.233329999999</v>
      </c>
      <c r="E10">
        <v>172.67838330000001</v>
      </c>
      <c r="F10">
        <v>74565.100000000006</v>
      </c>
      <c r="G10">
        <v>8743.33</v>
      </c>
      <c r="H10">
        <v>2596.4</v>
      </c>
      <c r="I10">
        <v>27856.3</v>
      </c>
      <c r="J10">
        <v>53.8</v>
      </c>
      <c r="K10">
        <v>6.75</v>
      </c>
      <c r="L10">
        <v>16943.291000000001</v>
      </c>
      <c r="M10">
        <v>90145.1</v>
      </c>
      <c r="N10">
        <v>87.572999999999993</v>
      </c>
      <c r="O10">
        <v>-12134.266670000001</v>
      </c>
      <c r="P10">
        <v>2.06908658</v>
      </c>
      <c r="Q10">
        <v>15092.7</v>
      </c>
      <c r="R10">
        <v>8524.5</v>
      </c>
      <c r="S10">
        <v>2.08</v>
      </c>
      <c r="T10">
        <v>5981.9</v>
      </c>
      <c r="U10">
        <v>39990.5666666666</v>
      </c>
      <c r="V10">
        <v>12496.3</v>
      </c>
    </row>
    <row r="11" spans="1:22" x14ac:dyDescent="0.25">
      <c r="A11" s="1">
        <v>39692</v>
      </c>
      <c r="B11">
        <v>7.4473866666666604</v>
      </c>
      <c r="C11">
        <v>25005.5666666666</v>
      </c>
      <c r="D11">
        <v>31604.673330000001</v>
      </c>
      <c r="E11">
        <v>177.01507000000001</v>
      </c>
      <c r="F11">
        <v>75672.5</v>
      </c>
      <c r="G11">
        <v>8601.3700000000008</v>
      </c>
      <c r="H11">
        <v>2979</v>
      </c>
      <c r="I11">
        <v>28472.7</v>
      </c>
      <c r="J11">
        <v>1375.3</v>
      </c>
      <c r="K11">
        <v>7.1268115940000003</v>
      </c>
      <c r="L11">
        <v>16854.294999999998</v>
      </c>
      <c r="M11">
        <v>88192.3</v>
      </c>
      <c r="N11">
        <v>88.02</v>
      </c>
      <c r="O11">
        <v>-11602.666670000001</v>
      </c>
      <c r="P11">
        <v>2.407678932</v>
      </c>
      <c r="Q11">
        <v>13054</v>
      </c>
      <c r="R11">
        <v>9032.2000000000007</v>
      </c>
      <c r="S11">
        <v>1.94</v>
      </c>
      <c r="T11">
        <v>7428.5</v>
      </c>
      <c r="U11">
        <v>40075.366666666603</v>
      </c>
      <c r="V11">
        <v>10075</v>
      </c>
    </row>
    <row r="12" spans="1:22" x14ac:dyDescent="0.25">
      <c r="A12" s="1">
        <v>39783</v>
      </c>
      <c r="B12">
        <v>7.6794133333333301</v>
      </c>
      <c r="C12">
        <v>25737.5666666666</v>
      </c>
      <c r="D12">
        <v>32860.74</v>
      </c>
      <c r="E12">
        <v>179.97388670000001</v>
      </c>
      <c r="F12">
        <v>78865.899999999994</v>
      </c>
      <c r="G12">
        <v>7819.92</v>
      </c>
      <c r="H12">
        <v>5855.39</v>
      </c>
      <c r="I12">
        <v>29246.6</v>
      </c>
      <c r="J12">
        <v>4746.8</v>
      </c>
      <c r="K12">
        <v>7.25</v>
      </c>
      <c r="L12">
        <v>16485.349999999999</v>
      </c>
      <c r="M12">
        <v>91738.9</v>
      </c>
      <c r="N12">
        <v>87.950999999999993</v>
      </c>
      <c r="O12">
        <v>-9850.7333330000001</v>
      </c>
      <c r="P12">
        <v>3.7277693599999999</v>
      </c>
      <c r="Q12">
        <v>13929.1</v>
      </c>
      <c r="R12">
        <v>9062</v>
      </c>
      <c r="S12">
        <v>0.51</v>
      </c>
      <c r="T12">
        <v>7953.4</v>
      </c>
      <c r="U12">
        <v>39097.333333333299</v>
      </c>
      <c r="V12">
        <v>8073.71</v>
      </c>
    </row>
    <row r="13" spans="1:22" x14ac:dyDescent="0.25">
      <c r="A13" s="1">
        <v>39873</v>
      </c>
      <c r="B13">
        <v>8.0376233333333307</v>
      </c>
      <c r="C13">
        <v>27059.5</v>
      </c>
      <c r="D13">
        <v>34974.04</v>
      </c>
      <c r="E13">
        <v>181.95939000000001</v>
      </c>
      <c r="F13">
        <v>78253.3</v>
      </c>
      <c r="G13">
        <v>7369.18</v>
      </c>
      <c r="H13">
        <v>2269.6999999999998</v>
      </c>
      <c r="I13">
        <v>29076.333330000001</v>
      </c>
      <c r="J13">
        <v>647.79999999999995</v>
      </c>
      <c r="K13">
        <v>6.8772727270000003</v>
      </c>
      <c r="L13">
        <v>16298.262000000001</v>
      </c>
      <c r="M13">
        <v>90819.8</v>
      </c>
      <c r="N13">
        <v>87.95</v>
      </c>
      <c r="O13">
        <v>-8937.5333329999994</v>
      </c>
      <c r="P13">
        <v>4.9490611639999997</v>
      </c>
      <c r="Q13">
        <v>12460.3</v>
      </c>
      <c r="R13">
        <v>8201</v>
      </c>
      <c r="S13">
        <v>0.18</v>
      </c>
      <c r="T13">
        <v>6579.1</v>
      </c>
      <c r="U13">
        <v>38013.866666666603</v>
      </c>
      <c r="V13">
        <v>10190.5999999999</v>
      </c>
    </row>
    <row r="14" spans="1:22" x14ac:dyDescent="0.25">
      <c r="A14" s="1">
        <v>39965</v>
      </c>
      <c r="B14">
        <v>8.1249533333333304</v>
      </c>
      <c r="C14">
        <v>27535.0666666666</v>
      </c>
      <c r="D14">
        <v>37344.620000000003</v>
      </c>
      <c r="E14">
        <v>182.96869330000001</v>
      </c>
      <c r="F14">
        <v>74997.8</v>
      </c>
      <c r="G14">
        <v>8294.75</v>
      </c>
      <c r="H14">
        <v>2465.6</v>
      </c>
      <c r="I14">
        <v>30387.833330000001</v>
      </c>
      <c r="J14">
        <v>1255.3</v>
      </c>
      <c r="K14">
        <v>5.8030303029999999</v>
      </c>
      <c r="L14">
        <v>16269.145</v>
      </c>
      <c r="M14">
        <v>89285.9</v>
      </c>
      <c r="N14">
        <v>88.293999999999997</v>
      </c>
      <c r="O14">
        <v>-9512.9</v>
      </c>
      <c r="P14">
        <v>3.8403812409999998</v>
      </c>
      <c r="Q14">
        <v>12386.8</v>
      </c>
      <c r="R14">
        <v>8055.8</v>
      </c>
      <c r="S14">
        <v>0.18</v>
      </c>
      <c r="T14">
        <v>6845.5</v>
      </c>
      <c r="U14">
        <v>39900.733333333301</v>
      </c>
      <c r="V14">
        <v>9921.1999999999898</v>
      </c>
    </row>
    <row r="15" spans="1:22" x14ac:dyDescent="0.25">
      <c r="A15" s="1">
        <v>40057</v>
      </c>
      <c r="B15">
        <v>8.2872400000000006</v>
      </c>
      <c r="C15">
        <v>28635.133333333299</v>
      </c>
      <c r="D15">
        <v>38454.769999999997</v>
      </c>
      <c r="E15">
        <v>184.2179567</v>
      </c>
      <c r="F15">
        <v>76667.600000000006</v>
      </c>
      <c r="G15">
        <v>8576.57</v>
      </c>
      <c r="H15">
        <v>3233.1</v>
      </c>
      <c r="I15">
        <v>30974.333330000001</v>
      </c>
      <c r="J15">
        <v>3452.1</v>
      </c>
      <c r="K15">
        <v>4.8642951249999999</v>
      </c>
      <c r="L15">
        <v>16326.281000000001</v>
      </c>
      <c r="M15">
        <v>89414.1</v>
      </c>
      <c r="N15">
        <v>88.606999999999999</v>
      </c>
      <c r="O15">
        <v>-8309.7000000000007</v>
      </c>
      <c r="P15">
        <v>2.9302272729999999</v>
      </c>
      <c r="Q15">
        <v>11359.1</v>
      </c>
      <c r="R15">
        <v>8366.2999999999993</v>
      </c>
      <c r="S15">
        <v>0.15</v>
      </c>
      <c r="T15">
        <v>8585.2999999999993</v>
      </c>
      <c r="U15">
        <v>39284.033333333296</v>
      </c>
      <c r="V15">
        <v>8126</v>
      </c>
    </row>
    <row r="16" spans="1:22" x14ac:dyDescent="0.25">
      <c r="A16" s="1">
        <v>40148</v>
      </c>
      <c r="B16">
        <v>8.3286200000000008</v>
      </c>
      <c r="C16">
        <v>30628.933333333302</v>
      </c>
      <c r="D16">
        <v>39066.160000000003</v>
      </c>
      <c r="E16">
        <v>185.39561330000001</v>
      </c>
      <c r="F16">
        <v>80066.899999999994</v>
      </c>
      <c r="G16">
        <v>7829.03</v>
      </c>
      <c r="H16">
        <v>4579.92</v>
      </c>
      <c r="I16">
        <v>32964.833330000001</v>
      </c>
      <c r="J16">
        <v>4316.5</v>
      </c>
      <c r="K16">
        <v>4.5</v>
      </c>
      <c r="L16">
        <v>16502.754000000001</v>
      </c>
      <c r="M16">
        <v>93767.9</v>
      </c>
      <c r="N16">
        <v>89.159000000000006</v>
      </c>
      <c r="O16">
        <v>-6948.6666670000004</v>
      </c>
      <c r="P16">
        <v>2.570457014</v>
      </c>
      <c r="Q16">
        <v>12432.4</v>
      </c>
      <c r="R16">
        <v>9414.1</v>
      </c>
      <c r="S16">
        <v>0.12</v>
      </c>
      <c r="T16">
        <v>9150.6</v>
      </c>
      <c r="U16">
        <v>39913.5</v>
      </c>
      <c r="V16">
        <v>7852.48</v>
      </c>
    </row>
    <row r="17" spans="1:22" x14ac:dyDescent="0.25">
      <c r="A17" s="1">
        <v>40238</v>
      </c>
      <c r="B17">
        <v>8.1611933333333297</v>
      </c>
      <c r="C17">
        <v>30464.2</v>
      </c>
      <c r="D17">
        <v>41669.926670000001</v>
      </c>
      <c r="E17">
        <v>187.69257999999999</v>
      </c>
      <c r="F17">
        <v>83764.100000000006</v>
      </c>
      <c r="G17">
        <v>7246.67</v>
      </c>
      <c r="H17">
        <v>2345.5</v>
      </c>
      <c r="I17">
        <v>33769.1</v>
      </c>
      <c r="J17">
        <v>1190</v>
      </c>
      <c r="K17">
        <v>4.5</v>
      </c>
      <c r="L17">
        <v>16582.71</v>
      </c>
      <c r="M17">
        <v>93561.1</v>
      </c>
      <c r="N17">
        <v>89.463999999999999</v>
      </c>
      <c r="O17">
        <v>-7032.9666669999997</v>
      </c>
      <c r="P17">
        <v>2.1203745230000002</v>
      </c>
      <c r="Q17">
        <v>12062.5</v>
      </c>
      <c r="R17">
        <v>8916.7000000000007</v>
      </c>
      <c r="S17">
        <v>0.13</v>
      </c>
      <c r="T17">
        <v>7761.2</v>
      </c>
      <c r="U17">
        <v>40802.0666666666</v>
      </c>
      <c r="V17">
        <v>9717</v>
      </c>
    </row>
    <row r="18" spans="1:22" x14ac:dyDescent="0.25">
      <c r="A18" s="1">
        <v>40330</v>
      </c>
      <c r="B18">
        <v>8.0184933333333301</v>
      </c>
      <c r="C18">
        <v>30682.6</v>
      </c>
      <c r="D18">
        <v>41646.826670000002</v>
      </c>
      <c r="E18">
        <v>189.63227000000001</v>
      </c>
      <c r="F18">
        <v>80946.3</v>
      </c>
      <c r="G18">
        <v>8786.42</v>
      </c>
      <c r="H18">
        <v>2496.8000000000002</v>
      </c>
      <c r="I18">
        <v>34017.266669999997</v>
      </c>
      <c r="J18">
        <v>1899.5</v>
      </c>
      <c r="K18">
        <v>4.5</v>
      </c>
      <c r="L18">
        <v>16743.162</v>
      </c>
      <c r="M18">
        <v>92080.5</v>
      </c>
      <c r="N18">
        <v>89.704999999999998</v>
      </c>
      <c r="O18">
        <v>-6973.5666670000001</v>
      </c>
      <c r="P18">
        <v>2.1255601730000002</v>
      </c>
      <c r="Q18">
        <v>12647</v>
      </c>
      <c r="R18">
        <v>8861.7000000000007</v>
      </c>
      <c r="S18">
        <v>0.19</v>
      </c>
      <c r="T18">
        <v>8264.4</v>
      </c>
      <c r="U18">
        <v>40990.833333333299</v>
      </c>
      <c r="V18">
        <v>10150.200000000001</v>
      </c>
    </row>
    <row r="19" spans="1:22" x14ac:dyDescent="0.25">
      <c r="A19" s="1">
        <v>40422</v>
      </c>
      <c r="B19">
        <v>8.0731599999999997</v>
      </c>
      <c r="C19">
        <v>34437.133333333302</v>
      </c>
      <c r="D19">
        <v>42621.773330000004</v>
      </c>
      <c r="E19">
        <v>191.30178000000001</v>
      </c>
      <c r="F19">
        <v>82168.100000000006</v>
      </c>
      <c r="G19">
        <v>9050.77</v>
      </c>
      <c r="H19">
        <v>4026.8</v>
      </c>
      <c r="I19">
        <v>34517.199999999997</v>
      </c>
      <c r="J19">
        <v>3208.9</v>
      </c>
      <c r="K19">
        <v>4.5</v>
      </c>
      <c r="L19">
        <v>16872.266</v>
      </c>
      <c r="M19">
        <v>91027.199999999997</v>
      </c>
      <c r="N19">
        <v>89.843000000000004</v>
      </c>
      <c r="O19">
        <v>-8004.3666670000002</v>
      </c>
      <c r="P19">
        <v>2.4653124100000001</v>
      </c>
      <c r="Q19">
        <v>12992.1</v>
      </c>
      <c r="R19">
        <v>9492.4</v>
      </c>
      <c r="S19">
        <v>0.19</v>
      </c>
      <c r="T19">
        <v>8674.5</v>
      </c>
      <c r="U19">
        <v>42521.5666666666</v>
      </c>
      <c r="V19">
        <v>8965.2999999999993</v>
      </c>
    </row>
    <row r="20" spans="1:22" x14ac:dyDescent="0.25">
      <c r="A20" s="1">
        <v>40513</v>
      </c>
      <c r="B20">
        <v>8.0142166666666608</v>
      </c>
      <c r="C20">
        <v>35673.799999999901</v>
      </c>
      <c r="D20">
        <v>42850.83</v>
      </c>
      <c r="E20">
        <v>192.95538999999999</v>
      </c>
      <c r="F20">
        <v>87555.7</v>
      </c>
      <c r="G20">
        <v>8168.25</v>
      </c>
      <c r="H20">
        <v>4859.63</v>
      </c>
      <c r="I20">
        <v>35918.800000000003</v>
      </c>
      <c r="J20">
        <v>4661.8999999999996</v>
      </c>
      <c r="K20">
        <v>4.5</v>
      </c>
      <c r="L20">
        <v>16960.864000000001</v>
      </c>
      <c r="M20">
        <v>96812</v>
      </c>
      <c r="N20">
        <v>90.126999999999995</v>
      </c>
      <c r="O20">
        <v>-7013.5333330000003</v>
      </c>
      <c r="P20">
        <v>1.790736364</v>
      </c>
      <c r="Q20">
        <v>13799.9</v>
      </c>
      <c r="R20">
        <v>10154.299999999999</v>
      </c>
      <c r="S20">
        <v>0.19</v>
      </c>
      <c r="T20">
        <v>9956.5</v>
      </c>
      <c r="U20">
        <v>42932.333333333299</v>
      </c>
      <c r="V20">
        <v>8940.27</v>
      </c>
    </row>
    <row r="21" spans="1:22" x14ac:dyDescent="0.25">
      <c r="A21" s="1">
        <v>40603</v>
      </c>
      <c r="B21">
        <v>7.7882233333333302</v>
      </c>
      <c r="C21">
        <v>38454.333333333299</v>
      </c>
      <c r="D21">
        <v>42079.776669999999</v>
      </c>
      <c r="E21">
        <v>195.88597999999999</v>
      </c>
      <c r="F21">
        <v>91460.7</v>
      </c>
      <c r="G21">
        <v>7561.06</v>
      </c>
      <c r="H21">
        <v>2364.7800000000002</v>
      </c>
      <c r="I21">
        <v>37388.5</v>
      </c>
      <c r="J21">
        <v>318.60000000000002</v>
      </c>
      <c r="K21">
        <v>4.5</v>
      </c>
      <c r="L21">
        <v>16920.632000000001</v>
      </c>
      <c r="M21">
        <v>97288.7</v>
      </c>
      <c r="N21">
        <v>90.522999999999996</v>
      </c>
      <c r="O21">
        <v>-6599.4666669999997</v>
      </c>
      <c r="P21">
        <v>1.615653623</v>
      </c>
      <c r="Q21">
        <v>13626.1</v>
      </c>
      <c r="R21">
        <v>10731.1</v>
      </c>
      <c r="S21">
        <v>0.15</v>
      </c>
      <c r="T21">
        <v>8685</v>
      </c>
      <c r="U21">
        <v>43987.966666666602</v>
      </c>
      <c r="V21">
        <v>11261.32</v>
      </c>
    </row>
    <row r="22" spans="1:22" x14ac:dyDescent="0.25">
      <c r="A22" s="1">
        <v>40695</v>
      </c>
      <c r="B22">
        <v>7.71372666666666</v>
      </c>
      <c r="C22">
        <v>40597.699999999997</v>
      </c>
      <c r="D22">
        <v>41623.839999999997</v>
      </c>
      <c r="E22">
        <v>198.9007067</v>
      </c>
      <c r="F22">
        <v>89623.1</v>
      </c>
      <c r="G22">
        <v>9285.76</v>
      </c>
      <c r="H22">
        <v>3357.34</v>
      </c>
      <c r="I22">
        <v>37444.56667</v>
      </c>
      <c r="J22">
        <v>2537.6999999999998</v>
      </c>
      <c r="K22">
        <v>4.75</v>
      </c>
      <c r="L22">
        <v>17035.114000000001</v>
      </c>
      <c r="M22">
        <v>96227</v>
      </c>
      <c r="N22">
        <v>91.052000000000007</v>
      </c>
      <c r="O22">
        <v>-7615.9333329999999</v>
      </c>
      <c r="P22">
        <v>1.979908153</v>
      </c>
      <c r="Q22">
        <v>13823.5</v>
      </c>
      <c r="R22">
        <v>10418.700000000001</v>
      </c>
      <c r="S22">
        <v>0.09</v>
      </c>
      <c r="T22">
        <v>9599</v>
      </c>
      <c r="U22">
        <v>45060.5</v>
      </c>
      <c r="V22">
        <v>10466.16</v>
      </c>
    </row>
    <row r="23" spans="1:22" x14ac:dyDescent="0.25">
      <c r="A23" s="1">
        <v>40787</v>
      </c>
      <c r="B23">
        <v>7.8247133333333299</v>
      </c>
      <c r="C23">
        <v>43102.266666666597</v>
      </c>
      <c r="D23">
        <v>41999.826670000002</v>
      </c>
      <c r="E23">
        <v>201.63990000000001</v>
      </c>
      <c r="F23">
        <v>92060.3</v>
      </c>
      <c r="G23">
        <v>8796.7199999999993</v>
      </c>
      <c r="H23">
        <v>3444.92</v>
      </c>
      <c r="I23">
        <v>36974.133329999997</v>
      </c>
      <c r="J23">
        <v>2664.3</v>
      </c>
      <c r="K23">
        <v>4.9166666670000003</v>
      </c>
      <c r="L23">
        <v>17031.312999999998</v>
      </c>
      <c r="M23">
        <v>96247.7</v>
      </c>
      <c r="N23">
        <v>91.468000000000004</v>
      </c>
      <c r="O23">
        <v>-7073.3</v>
      </c>
      <c r="P23">
        <v>2.832411939</v>
      </c>
      <c r="Q23">
        <v>14684.1</v>
      </c>
      <c r="R23">
        <v>10680.8</v>
      </c>
      <c r="S23">
        <v>0.08</v>
      </c>
      <c r="T23">
        <v>9900.2000000000007</v>
      </c>
      <c r="U23">
        <v>44047.433333333298</v>
      </c>
      <c r="V23">
        <v>11239.18</v>
      </c>
    </row>
    <row r="24" spans="1:22" x14ac:dyDescent="0.25">
      <c r="A24" s="1">
        <v>40878</v>
      </c>
      <c r="B24">
        <v>7.8377933333333303</v>
      </c>
      <c r="C24">
        <v>45619.6</v>
      </c>
      <c r="D24">
        <v>42743.936670000003</v>
      </c>
      <c r="E24">
        <v>203.75373669999999</v>
      </c>
      <c r="F24">
        <v>96206</v>
      </c>
      <c r="G24">
        <v>8454.2199999999993</v>
      </c>
      <c r="H24">
        <v>5569.76</v>
      </c>
      <c r="I24">
        <v>38446.766669999997</v>
      </c>
      <c r="J24">
        <v>4836.3999999999996</v>
      </c>
      <c r="K24">
        <v>5.5</v>
      </c>
      <c r="L24">
        <v>17222.582999999999</v>
      </c>
      <c r="M24">
        <v>100318.9</v>
      </c>
      <c r="N24">
        <v>91.793999999999997</v>
      </c>
      <c r="O24">
        <v>-8136.8333329999996</v>
      </c>
      <c r="P24">
        <v>3.5107817460000001</v>
      </c>
      <c r="Q24">
        <v>15441</v>
      </c>
      <c r="R24">
        <v>11323.4</v>
      </c>
      <c r="S24">
        <v>7.0000000000000007E-2</v>
      </c>
      <c r="T24">
        <v>10590.1</v>
      </c>
      <c r="U24">
        <v>46583.6</v>
      </c>
      <c r="V24">
        <v>9871.24</v>
      </c>
    </row>
    <row r="25" spans="1:22" x14ac:dyDescent="0.25">
      <c r="A25" s="1">
        <v>40969</v>
      </c>
      <c r="B25">
        <v>7.7554400000000001</v>
      </c>
      <c r="C25">
        <v>45547.833333333299</v>
      </c>
      <c r="D25">
        <v>42129.36</v>
      </c>
      <c r="E25">
        <v>205.8523667</v>
      </c>
      <c r="F25">
        <v>98146.8</v>
      </c>
      <c r="G25">
        <v>8197.66</v>
      </c>
      <c r="H25">
        <v>1655.19</v>
      </c>
      <c r="I25">
        <v>39062.466670000002</v>
      </c>
      <c r="J25">
        <v>-939.6</v>
      </c>
      <c r="K25">
        <v>5.5</v>
      </c>
      <c r="L25">
        <v>17367.009999999998</v>
      </c>
      <c r="M25">
        <v>101001.4</v>
      </c>
      <c r="N25">
        <v>92.373000000000005</v>
      </c>
      <c r="O25">
        <v>-5075.9333329999999</v>
      </c>
      <c r="P25">
        <v>3.2580893940000002</v>
      </c>
      <c r="Q25">
        <v>14820.7</v>
      </c>
      <c r="R25">
        <v>11420</v>
      </c>
      <c r="S25">
        <v>0.1</v>
      </c>
      <c r="T25">
        <v>8825.2999999999993</v>
      </c>
      <c r="U25">
        <v>44138.400000000001</v>
      </c>
      <c r="V25">
        <v>13165.51</v>
      </c>
    </row>
    <row r="26" spans="1:22" x14ac:dyDescent="0.25">
      <c r="A26" s="1">
        <v>41061</v>
      </c>
      <c r="B26">
        <v>7.81515</v>
      </c>
      <c r="C26">
        <v>47346.933333333298</v>
      </c>
      <c r="D26">
        <v>44055.506670000002</v>
      </c>
      <c r="E26">
        <v>208.06119330000001</v>
      </c>
      <c r="F26">
        <v>95001.2</v>
      </c>
      <c r="G26">
        <v>10185.19</v>
      </c>
      <c r="H26">
        <v>2665</v>
      </c>
      <c r="I26">
        <v>38602.699999999997</v>
      </c>
      <c r="J26">
        <v>730.4</v>
      </c>
      <c r="K26">
        <v>5.5</v>
      </c>
      <c r="L26">
        <v>17444.525000000001</v>
      </c>
      <c r="M26">
        <v>98806.399999999994</v>
      </c>
      <c r="N26">
        <v>92.754999999999995</v>
      </c>
      <c r="O26">
        <v>-9155.0666669999991</v>
      </c>
      <c r="P26">
        <v>3.511683541</v>
      </c>
      <c r="Q26">
        <v>15216.6</v>
      </c>
      <c r="R26">
        <v>10944.6</v>
      </c>
      <c r="S26">
        <v>0.15</v>
      </c>
      <c r="T26">
        <v>9010</v>
      </c>
      <c r="U26">
        <v>47757.766666666597</v>
      </c>
      <c r="V26">
        <v>12551.6</v>
      </c>
    </row>
    <row r="27" spans="1:22" x14ac:dyDescent="0.25">
      <c r="A27" s="1">
        <v>41153</v>
      </c>
      <c r="B27">
        <v>7.9122233333333298</v>
      </c>
      <c r="C27">
        <v>47473.333333333299</v>
      </c>
      <c r="D27">
        <v>48420.576670000002</v>
      </c>
      <c r="E27">
        <v>210.5035767</v>
      </c>
      <c r="F27">
        <v>95942.2</v>
      </c>
      <c r="G27">
        <v>9724.49</v>
      </c>
      <c r="H27">
        <v>3463.35</v>
      </c>
      <c r="I27">
        <v>38620.033329999998</v>
      </c>
      <c r="J27">
        <v>4195.8</v>
      </c>
      <c r="K27">
        <v>5</v>
      </c>
      <c r="L27">
        <v>17469.650000000001</v>
      </c>
      <c r="M27">
        <v>98662.2</v>
      </c>
      <c r="N27">
        <v>93.022999999999996</v>
      </c>
      <c r="O27">
        <v>-9929.1666669999995</v>
      </c>
      <c r="P27">
        <v>3.1046520979999999</v>
      </c>
      <c r="Q27">
        <v>15110.2</v>
      </c>
      <c r="R27">
        <v>11282.1</v>
      </c>
      <c r="S27">
        <v>0.14000000000000001</v>
      </c>
      <c r="T27">
        <v>12014.5</v>
      </c>
      <c r="U27">
        <v>48549.2</v>
      </c>
      <c r="V27">
        <v>11646.85</v>
      </c>
    </row>
    <row r="28" spans="1:22" x14ac:dyDescent="0.25">
      <c r="A28" s="1">
        <v>41244</v>
      </c>
      <c r="B28">
        <v>7.8763866666666598</v>
      </c>
      <c r="C28">
        <v>47189.466666666602</v>
      </c>
      <c r="D28">
        <v>48676.883329999997</v>
      </c>
      <c r="E28">
        <v>212.7600133</v>
      </c>
      <c r="F28">
        <v>101835.8</v>
      </c>
      <c r="G28">
        <v>9392.7800000000007</v>
      </c>
      <c r="H28">
        <v>5228.5</v>
      </c>
      <c r="I28">
        <v>41991.366670000003</v>
      </c>
      <c r="J28">
        <v>5459.2</v>
      </c>
      <c r="K28">
        <v>5</v>
      </c>
      <c r="L28">
        <v>17489.851999999999</v>
      </c>
      <c r="M28">
        <v>103889.3</v>
      </c>
      <c r="N28">
        <v>93.435000000000002</v>
      </c>
      <c r="O28">
        <v>-6487.7333330000001</v>
      </c>
      <c r="P28">
        <v>2.682304646</v>
      </c>
      <c r="Q28">
        <v>16414.400000000001</v>
      </c>
      <c r="R28">
        <v>12227.2</v>
      </c>
      <c r="S28">
        <v>0.16</v>
      </c>
      <c r="T28">
        <v>12457.9</v>
      </c>
      <c r="U28">
        <v>48479.1</v>
      </c>
      <c r="V28">
        <v>11185.9</v>
      </c>
    </row>
    <row r="29" spans="1:22" x14ac:dyDescent="0.25">
      <c r="A29" s="1">
        <v>41334</v>
      </c>
      <c r="B29">
        <v>7.8132599999999996</v>
      </c>
      <c r="C29">
        <v>49056.133333333302</v>
      </c>
      <c r="D29">
        <v>51514.52</v>
      </c>
      <c r="E29">
        <v>215.53487000000001</v>
      </c>
      <c r="F29">
        <v>103834.56359999999</v>
      </c>
      <c r="G29">
        <v>8850.66</v>
      </c>
      <c r="H29">
        <v>1887.01</v>
      </c>
      <c r="I29">
        <v>42653.666669999999</v>
      </c>
      <c r="J29">
        <v>-602.6</v>
      </c>
      <c r="K29">
        <v>5</v>
      </c>
      <c r="L29">
        <v>17662.400000000001</v>
      </c>
      <c r="M29">
        <v>103960.1024</v>
      </c>
      <c r="N29">
        <v>93.8</v>
      </c>
      <c r="O29">
        <v>-9203.1333329999998</v>
      </c>
      <c r="P29">
        <v>2.431259753</v>
      </c>
      <c r="Q29">
        <v>14521.32164</v>
      </c>
      <c r="R29">
        <v>12194</v>
      </c>
      <c r="S29">
        <v>0.14000000000000001</v>
      </c>
      <c r="T29">
        <v>9704.4</v>
      </c>
      <c r="U29">
        <v>51856.800000000003</v>
      </c>
      <c r="V29">
        <v>12634.31164</v>
      </c>
    </row>
    <row r="30" spans="1:22" x14ac:dyDescent="0.25">
      <c r="A30" s="1">
        <v>41426</v>
      </c>
      <c r="B30">
        <v>7.8039666666666596</v>
      </c>
      <c r="C30">
        <v>49486.1</v>
      </c>
      <c r="D30">
        <v>53454.336669999997</v>
      </c>
      <c r="E30">
        <v>217.77124670000001</v>
      </c>
      <c r="F30">
        <v>102176.59020000001</v>
      </c>
      <c r="G30">
        <v>10498.44</v>
      </c>
      <c r="H30">
        <v>2925.45</v>
      </c>
      <c r="I30">
        <v>43387.266669999997</v>
      </c>
      <c r="J30">
        <v>2693</v>
      </c>
      <c r="K30">
        <v>5.25</v>
      </c>
      <c r="L30">
        <v>17709.670999999998</v>
      </c>
      <c r="M30">
        <v>103201.22930000001</v>
      </c>
      <c r="N30">
        <v>94.063999999999993</v>
      </c>
      <c r="O30">
        <v>-9848.9333330000009</v>
      </c>
      <c r="P30">
        <v>2.594730389</v>
      </c>
      <c r="Q30">
        <v>15653.602010000001</v>
      </c>
      <c r="R30">
        <v>12024.7</v>
      </c>
      <c r="S30">
        <v>0.12</v>
      </c>
      <c r="T30">
        <v>11792.2</v>
      </c>
      <c r="U30">
        <v>53236.2</v>
      </c>
      <c r="V30">
        <v>12728.15201</v>
      </c>
    </row>
    <row r="31" spans="1:22" x14ac:dyDescent="0.25">
      <c r="A31" s="1">
        <v>41518</v>
      </c>
      <c r="B31">
        <v>7.9135866666666601</v>
      </c>
      <c r="C31">
        <v>50044.9</v>
      </c>
      <c r="D31">
        <v>51712.263330000002</v>
      </c>
      <c r="E31">
        <v>219.3749267</v>
      </c>
      <c r="F31">
        <v>102217.26420000001</v>
      </c>
      <c r="G31">
        <v>10467.969999999999</v>
      </c>
      <c r="H31">
        <v>2988.95</v>
      </c>
      <c r="I31">
        <v>42940.966670000002</v>
      </c>
      <c r="J31">
        <v>2270.4</v>
      </c>
      <c r="K31">
        <v>5.25</v>
      </c>
      <c r="L31">
        <v>17860.45</v>
      </c>
      <c r="M31">
        <v>102372.50810000001</v>
      </c>
      <c r="N31">
        <v>94.433999999999997</v>
      </c>
      <c r="O31">
        <v>-5130.3</v>
      </c>
      <c r="P31">
        <v>2.6716212000000001</v>
      </c>
      <c r="Q31">
        <v>16060.583629999999</v>
      </c>
      <c r="R31">
        <v>12452.5</v>
      </c>
      <c r="S31">
        <v>0.09</v>
      </c>
      <c r="T31">
        <v>11734</v>
      </c>
      <c r="U31">
        <v>48071.266666666597</v>
      </c>
      <c r="V31">
        <v>13071.63363</v>
      </c>
    </row>
    <row r="32" spans="1:22" x14ac:dyDescent="0.25">
      <c r="A32" s="1">
        <v>41609</v>
      </c>
      <c r="B32">
        <v>7.8881899999999998</v>
      </c>
      <c r="C32">
        <v>50697.733333333301</v>
      </c>
      <c r="D32">
        <v>53109.89</v>
      </c>
      <c r="E32">
        <v>220.9863033</v>
      </c>
      <c r="F32">
        <v>108154.8023</v>
      </c>
      <c r="G32">
        <v>10285.57</v>
      </c>
      <c r="H32">
        <v>4912.28</v>
      </c>
      <c r="I32">
        <v>45671.533329999998</v>
      </c>
      <c r="J32">
        <v>4649</v>
      </c>
      <c r="K32">
        <v>5</v>
      </c>
      <c r="L32">
        <v>18016.147000000001</v>
      </c>
      <c r="M32">
        <v>106849.3805</v>
      </c>
      <c r="N32">
        <v>94.840999999999994</v>
      </c>
      <c r="O32">
        <v>-5034.6333329999998</v>
      </c>
      <c r="P32">
        <v>2.6464482629999999</v>
      </c>
      <c r="Q32">
        <v>16599.084620000001</v>
      </c>
      <c r="R32">
        <v>12588</v>
      </c>
      <c r="S32">
        <v>0.09</v>
      </c>
      <c r="T32">
        <v>12324.7</v>
      </c>
      <c r="U32">
        <v>50706.166666666599</v>
      </c>
      <c r="V32">
        <v>11686.804620000001</v>
      </c>
    </row>
    <row r="33" spans="1:22" x14ac:dyDescent="0.25">
      <c r="A33" s="1">
        <v>41699</v>
      </c>
      <c r="B33">
        <v>7.7610066666666597</v>
      </c>
      <c r="C33">
        <v>51027.7</v>
      </c>
      <c r="D33">
        <v>53829.103329999998</v>
      </c>
      <c r="E33">
        <v>222.74112</v>
      </c>
      <c r="F33">
        <v>109523.7172</v>
      </c>
      <c r="G33">
        <v>9601.18</v>
      </c>
      <c r="H33">
        <v>1760.06</v>
      </c>
      <c r="I33">
        <v>43905.233330000003</v>
      </c>
      <c r="J33">
        <v>-725.1</v>
      </c>
      <c r="K33">
        <v>5</v>
      </c>
      <c r="L33">
        <v>17953.973999999998</v>
      </c>
      <c r="M33">
        <v>108289.467</v>
      </c>
      <c r="N33">
        <v>95.141000000000005</v>
      </c>
      <c r="O33">
        <v>-3946.7666669999999</v>
      </c>
      <c r="P33">
        <v>2.5252924210000001</v>
      </c>
      <c r="Q33">
        <v>15781.525680000001</v>
      </c>
      <c r="R33">
        <v>12621.3</v>
      </c>
      <c r="S33">
        <v>7.0000000000000007E-2</v>
      </c>
      <c r="T33">
        <v>10136.4</v>
      </c>
      <c r="U33">
        <v>47852</v>
      </c>
      <c r="V33">
        <v>14021.465679999999</v>
      </c>
    </row>
    <row r="34" spans="1:22" x14ac:dyDescent="0.25">
      <c r="A34" s="1">
        <v>41791</v>
      </c>
      <c r="B34">
        <v>7.7629333333333301</v>
      </c>
      <c r="C34">
        <v>56326.333333333299</v>
      </c>
      <c r="D34">
        <v>53789.586669999997</v>
      </c>
      <c r="E34">
        <v>224.63159669999999</v>
      </c>
      <c r="F34">
        <v>109403.59239999999</v>
      </c>
      <c r="G34">
        <v>11385.05</v>
      </c>
      <c r="H34">
        <v>3760.75</v>
      </c>
      <c r="I34">
        <v>44924.733330000003</v>
      </c>
      <c r="J34">
        <v>3163.1</v>
      </c>
      <c r="K34">
        <v>4.75</v>
      </c>
      <c r="L34">
        <v>18185.911</v>
      </c>
      <c r="M34">
        <v>107649.75199999999</v>
      </c>
      <c r="N34">
        <v>95.555999999999997</v>
      </c>
      <c r="O34">
        <v>-7307.7333330000001</v>
      </c>
      <c r="P34">
        <v>2.1630189729999998</v>
      </c>
      <c r="Q34">
        <v>16955.547699999999</v>
      </c>
      <c r="R34">
        <v>12845</v>
      </c>
      <c r="S34">
        <v>0.09</v>
      </c>
      <c r="T34">
        <v>12247.4</v>
      </c>
      <c r="U34">
        <v>52232.466666666602</v>
      </c>
      <c r="V34">
        <v>13194.797699999999</v>
      </c>
    </row>
    <row r="35" spans="1:22" x14ac:dyDescent="0.25">
      <c r="A35" s="1">
        <v>41883</v>
      </c>
      <c r="B35">
        <v>7.7514733333333297</v>
      </c>
      <c r="C35">
        <v>55787.266666666597</v>
      </c>
      <c r="D35">
        <v>53555.11</v>
      </c>
      <c r="E35">
        <v>226.47525999999999</v>
      </c>
      <c r="F35">
        <v>111334.2455</v>
      </c>
      <c r="G35">
        <v>11206.78</v>
      </c>
      <c r="H35">
        <v>3648.94</v>
      </c>
      <c r="I35">
        <v>46726.733330000003</v>
      </c>
      <c r="J35">
        <v>2400.1999999999998</v>
      </c>
      <c r="K35">
        <v>4.5</v>
      </c>
      <c r="L35">
        <v>18406.940999999999</v>
      </c>
      <c r="M35">
        <v>106782.8735</v>
      </c>
      <c r="N35">
        <v>95.915000000000006</v>
      </c>
      <c r="O35">
        <v>-4229</v>
      </c>
      <c r="P35">
        <v>2.1845056409999999</v>
      </c>
      <c r="Q35">
        <v>17134.954000000002</v>
      </c>
      <c r="R35">
        <v>13518.6</v>
      </c>
      <c r="S35">
        <v>0.09</v>
      </c>
      <c r="T35">
        <v>12269.8</v>
      </c>
      <c r="U35">
        <v>50955.733333333301</v>
      </c>
      <c r="V35">
        <v>13486.013999999999</v>
      </c>
    </row>
    <row r="36" spans="1:22" x14ac:dyDescent="0.25">
      <c r="A36" s="1">
        <v>41974</v>
      </c>
      <c r="B36">
        <v>7.6175699999999997</v>
      </c>
      <c r="C36">
        <v>55611.933333333298</v>
      </c>
      <c r="D36">
        <v>52800.56667</v>
      </c>
      <c r="E36">
        <v>227.88435329999999</v>
      </c>
      <c r="F36">
        <v>117064.7711</v>
      </c>
      <c r="G36">
        <v>10622.4</v>
      </c>
      <c r="H36">
        <v>4177.6899999999996</v>
      </c>
      <c r="I36">
        <v>47624.7</v>
      </c>
      <c r="J36">
        <v>3756.2</v>
      </c>
      <c r="K36">
        <v>4.3333333329999997</v>
      </c>
      <c r="L36">
        <v>18500.030999999999</v>
      </c>
      <c r="M36">
        <v>112165.1058</v>
      </c>
      <c r="N36">
        <v>96.174999999999997</v>
      </c>
      <c r="O36">
        <v>-3260.5333329999999</v>
      </c>
      <c r="P36">
        <v>2.3137576759999998</v>
      </c>
      <c r="Q36">
        <v>17995.327979999998</v>
      </c>
      <c r="R36">
        <v>13239.1</v>
      </c>
      <c r="S36">
        <v>0.1</v>
      </c>
      <c r="T36">
        <v>12817.7</v>
      </c>
      <c r="U36">
        <v>50885.233333333301</v>
      </c>
      <c r="V36">
        <v>13817.637979999899</v>
      </c>
    </row>
    <row r="37" spans="1:22" x14ac:dyDescent="0.25">
      <c r="A37" s="1">
        <v>42064</v>
      </c>
      <c r="B37">
        <v>7.6425033333333303</v>
      </c>
      <c r="C37">
        <v>60547.166666666599</v>
      </c>
      <c r="D37">
        <v>55781.646670000002</v>
      </c>
      <c r="E37">
        <v>229.3673067</v>
      </c>
      <c r="F37">
        <v>117897.27529999999</v>
      </c>
      <c r="G37">
        <v>10668.07</v>
      </c>
      <c r="H37">
        <v>2239.2199999999998</v>
      </c>
      <c r="I37">
        <v>49398.833330000001</v>
      </c>
      <c r="J37">
        <v>1360.8</v>
      </c>
      <c r="K37">
        <v>3.8333333330000001</v>
      </c>
      <c r="L37">
        <v>18666.620999999999</v>
      </c>
      <c r="M37">
        <v>113343.54459999999</v>
      </c>
      <c r="N37">
        <v>96.335999999999999</v>
      </c>
      <c r="O37">
        <v>-5903.7666669999999</v>
      </c>
      <c r="P37">
        <v>2.48475278</v>
      </c>
      <c r="Q37">
        <v>16063.27223</v>
      </c>
      <c r="R37">
        <v>13116.3</v>
      </c>
      <c r="S37">
        <v>0.11</v>
      </c>
      <c r="T37">
        <v>12237.9</v>
      </c>
      <c r="U37">
        <v>55302.6</v>
      </c>
      <c r="V37">
        <v>13824.052229999999</v>
      </c>
    </row>
    <row r="38" spans="1:22" x14ac:dyDescent="0.25">
      <c r="A38" s="1">
        <v>42156</v>
      </c>
      <c r="B38">
        <v>7.6828766666666599</v>
      </c>
      <c r="C38">
        <v>62031.5</v>
      </c>
      <c r="D38">
        <v>56921.32</v>
      </c>
      <c r="E38">
        <v>231.0872833</v>
      </c>
      <c r="F38">
        <v>116183.442</v>
      </c>
      <c r="G38">
        <v>11976.28</v>
      </c>
      <c r="H38">
        <v>3022.9</v>
      </c>
      <c r="I38">
        <v>51819.199999999997</v>
      </c>
      <c r="J38">
        <v>2318.5</v>
      </c>
      <c r="K38">
        <v>3.5</v>
      </c>
      <c r="L38">
        <v>18782.242999999999</v>
      </c>
      <c r="M38">
        <v>111016.0223</v>
      </c>
      <c r="N38">
        <v>96.765000000000001</v>
      </c>
      <c r="O38">
        <v>-6957.5</v>
      </c>
      <c r="P38">
        <v>2.389748929</v>
      </c>
      <c r="Q38">
        <v>16287.518309999999</v>
      </c>
      <c r="R38">
        <v>12979</v>
      </c>
      <c r="S38">
        <v>0.13</v>
      </c>
      <c r="T38">
        <v>12274.7</v>
      </c>
      <c r="U38">
        <v>58776.7</v>
      </c>
      <c r="V38">
        <v>13264.61831</v>
      </c>
    </row>
    <row r="39" spans="1:22" x14ac:dyDescent="0.25">
      <c r="A39" s="1">
        <v>42248</v>
      </c>
      <c r="B39">
        <v>7.6679966666666601</v>
      </c>
      <c r="C39">
        <v>61197.133333333302</v>
      </c>
      <c r="D39">
        <v>56369.79333</v>
      </c>
      <c r="E39">
        <v>232.89532</v>
      </c>
      <c r="F39">
        <v>118716.5307</v>
      </c>
      <c r="G39">
        <v>12570.17</v>
      </c>
      <c r="H39">
        <v>2685.88</v>
      </c>
      <c r="I39">
        <v>51820.533329999998</v>
      </c>
      <c r="J39">
        <v>1538.7</v>
      </c>
      <c r="K39">
        <v>3.25</v>
      </c>
      <c r="L39">
        <v>18857.418000000001</v>
      </c>
      <c r="M39">
        <v>112035.39479999999</v>
      </c>
      <c r="N39">
        <v>97.076999999999998</v>
      </c>
      <c r="O39">
        <v>-4565.5</v>
      </c>
      <c r="P39">
        <v>2.791541107</v>
      </c>
      <c r="Q39">
        <v>17793.53729</v>
      </c>
      <c r="R39">
        <v>13433.4</v>
      </c>
      <c r="S39">
        <v>0.13</v>
      </c>
      <c r="T39">
        <v>12286.3</v>
      </c>
      <c r="U39">
        <v>56386.033333333296</v>
      </c>
      <c r="V39">
        <v>15107.657289999999</v>
      </c>
    </row>
    <row r="40" spans="1:22" x14ac:dyDescent="0.25">
      <c r="A40" s="1">
        <v>42339</v>
      </c>
      <c r="B40">
        <v>7.6357799999999996</v>
      </c>
      <c r="C40">
        <v>61243.0666666666</v>
      </c>
      <c r="D40">
        <v>56101.67</v>
      </c>
      <c r="E40">
        <v>234.52655329999999</v>
      </c>
      <c r="F40">
        <v>123225.5732</v>
      </c>
      <c r="G40">
        <v>12910.58</v>
      </c>
      <c r="H40">
        <v>2686.18</v>
      </c>
      <c r="I40">
        <v>53876.266669999997</v>
      </c>
      <c r="J40">
        <v>1789.3</v>
      </c>
      <c r="K40">
        <v>3</v>
      </c>
      <c r="L40">
        <v>18892.205999999998</v>
      </c>
      <c r="M40">
        <v>116288.5631</v>
      </c>
      <c r="N40">
        <v>97.319000000000003</v>
      </c>
      <c r="O40">
        <v>-4307.3333329999996</v>
      </c>
      <c r="P40">
        <v>2.9010569240000001</v>
      </c>
      <c r="Q40">
        <v>18957.909459999999</v>
      </c>
      <c r="R40">
        <v>13355.2</v>
      </c>
      <c r="S40">
        <v>0.16</v>
      </c>
      <c r="T40">
        <v>12458.2</v>
      </c>
      <c r="U40">
        <v>58183.6</v>
      </c>
      <c r="V40">
        <v>16271.7294599999</v>
      </c>
    </row>
    <row r="41" spans="1:22" x14ac:dyDescent="0.25">
      <c r="A41" s="1">
        <v>42430</v>
      </c>
      <c r="B41">
        <v>7.6903033333333299</v>
      </c>
      <c r="C41">
        <v>63446.400000000001</v>
      </c>
      <c r="D41">
        <v>56576.576670000002</v>
      </c>
      <c r="E41">
        <v>236.1921467</v>
      </c>
      <c r="F41">
        <v>123838.5435</v>
      </c>
      <c r="G41">
        <v>12791.21</v>
      </c>
      <c r="H41">
        <v>1661.46</v>
      </c>
      <c r="I41">
        <v>53521.366670000003</v>
      </c>
      <c r="J41">
        <v>-272.7</v>
      </c>
      <c r="K41">
        <v>3</v>
      </c>
      <c r="L41">
        <v>19001.689999999999</v>
      </c>
      <c r="M41">
        <v>115243.1134</v>
      </c>
      <c r="N41">
        <v>97.725999999999999</v>
      </c>
      <c r="O41">
        <v>-4615.2</v>
      </c>
      <c r="P41">
        <v>3.240737829</v>
      </c>
      <c r="Q41">
        <v>16061.27232</v>
      </c>
      <c r="R41">
        <v>13458.3</v>
      </c>
      <c r="S41">
        <v>0.36</v>
      </c>
      <c r="T41">
        <v>11524.2</v>
      </c>
      <c r="U41">
        <v>58136.5666666666</v>
      </c>
      <c r="V41">
        <v>14399.812320000001</v>
      </c>
    </row>
    <row r="42" spans="1:22" x14ac:dyDescent="0.25">
      <c r="A42" s="1">
        <v>42522</v>
      </c>
      <c r="B42">
        <v>7.6656666666666604</v>
      </c>
      <c r="C42">
        <v>63516.233333333301</v>
      </c>
      <c r="D42">
        <v>59568.74</v>
      </c>
      <c r="E42">
        <v>237.9715467</v>
      </c>
      <c r="F42">
        <v>122799.36689999999</v>
      </c>
      <c r="G42">
        <v>14175.13</v>
      </c>
      <c r="H42">
        <v>2375.63</v>
      </c>
      <c r="I42">
        <v>55604.033329999998</v>
      </c>
      <c r="J42">
        <v>-243.8</v>
      </c>
      <c r="K42">
        <v>3</v>
      </c>
      <c r="L42">
        <v>19062.708999999999</v>
      </c>
      <c r="M42">
        <v>115126.2594</v>
      </c>
      <c r="N42">
        <v>98.262</v>
      </c>
      <c r="O42">
        <v>-8378.7666669999999</v>
      </c>
      <c r="P42">
        <v>2.7828881559999998</v>
      </c>
      <c r="Q42">
        <v>17445.984359999999</v>
      </c>
      <c r="R42">
        <v>14397.1</v>
      </c>
      <c r="S42">
        <v>0.37</v>
      </c>
      <c r="T42">
        <v>11777.8</v>
      </c>
      <c r="U42">
        <v>63982.8</v>
      </c>
      <c r="V42">
        <v>15070.354359999899</v>
      </c>
    </row>
    <row r="43" spans="1:22" x14ac:dyDescent="0.25">
      <c r="A43" s="1">
        <v>42614</v>
      </c>
      <c r="B43">
        <v>7.5449533333333303</v>
      </c>
      <c r="C43">
        <v>63816.633333333302</v>
      </c>
      <c r="D43">
        <v>59895.023330000004</v>
      </c>
      <c r="E43">
        <v>239.66417000000001</v>
      </c>
      <c r="F43">
        <v>124518.04949999999</v>
      </c>
      <c r="G43">
        <v>13300.82</v>
      </c>
      <c r="H43">
        <v>2617.0300000000002</v>
      </c>
      <c r="I43">
        <v>57080.56667</v>
      </c>
      <c r="J43">
        <v>1692.2</v>
      </c>
      <c r="K43">
        <v>3</v>
      </c>
      <c r="L43">
        <v>19197.937999999998</v>
      </c>
      <c r="M43">
        <v>114354.243</v>
      </c>
      <c r="N43">
        <v>98.688999999999993</v>
      </c>
      <c r="O43">
        <v>-8681.4333330000009</v>
      </c>
      <c r="P43">
        <v>2.3439094109999998</v>
      </c>
      <c r="Q43">
        <v>17127.936740000001</v>
      </c>
      <c r="R43">
        <v>14806.6</v>
      </c>
      <c r="S43">
        <v>0.39</v>
      </c>
      <c r="T43">
        <v>13881.8</v>
      </c>
      <c r="U43">
        <v>65762</v>
      </c>
      <c r="V43">
        <v>14510.90674</v>
      </c>
    </row>
    <row r="44" spans="1:22" x14ac:dyDescent="0.25">
      <c r="A44" s="1">
        <v>42705</v>
      </c>
      <c r="B44">
        <v>7.5165833333333296</v>
      </c>
      <c r="C44">
        <v>64933.299999999901</v>
      </c>
      <c r="D44">
        <v>59609.536670000001</v>
      </c>
      <c r="E44">
        <v>241.18182999999999</v>
      </c>
      <c r="F44">
        <v>130845.7444</v>
      </c>
      <c r="G44">
        <v>14166.89</v>
      </c>
      <c r="H44">
        <v>4351.41</v>
      </c>
      <c r="I44">
        <v>59556.6</v>
      </c>
      <c r="J44">
        <v>4396.8999999999996</v>
      </c>
      <c r="K44">
        <v>3</v>
      </c>
      <c r="L44">
        <v>19304.351999999999</v>
      </c>
      <c r="M44">
        <v>120081.8809</v>
      </c>
      <c r="N44">
        <v>99.028999999999996</v>
      </c>
      <c r="O44">
        <v>-7924.1333329999998</v>
      </c>
      <c r="P44">
        <v>2.5762829630000001</v>
      </c>
      <c r="Q44">
        <v>19001.06264</v>
      </c>
      <c r="R44">
        <v>14845.6</v>
      </c>
      <c r="S44">
        <v>0.45</v>
      </c>
      <c r="T44">
        <v>14891.1</v>
      </c>
      <c r="U44">
        <v>67480.733333333294</v>
      </c>
      <c r="V44">
        <v>14649.65264</v>
      </c>
    </row>
    <row r="45" spans="1:22" x14ac:dyDescent="0.25">
      <c r="A45" s="1">
        <v>42795</v>
      </c>
      <c r="B45">
        <v>7.3942399999999999</v>
      </c>
      <c r="C45">
        <v>66723.333333333299</v>
      </c>
      <c r="D45">
        <v>58272.29</v>
      </c>
      <c r="E45">
        <v>243.0808467</v>
      </c>
      <c r="F45">
        <v>131682.7084</v>
      </c>
      <c r="G45">
        <v>14345.87</v>
      </c>
      <c r="H45">
        <v>1980.03</v>
      </c>
      <c r="I45">
        <v>60906.133329999997</v>
      </c>
      <c r="J45">
        <v>-1119.5999999999999</v>
      </c>
      <c r="K45">
        <v>3</v>
      </c>
      <c r="L45">
        <v>19398.343000000001</v>
      </c>
      <c r="M45">
        <v>120681.26489999999</v>
      </c>
      <c r="N45">
        <v>99.488</v>
      </c>
      <c r="O45">
        <v>-8016.4</v>
      </c>
      <c r="P45">
        <v>2.2935873600000001</v>
      </c>
      <c r="Q45">
        <v>16797.886460000002</v>
      </c>
      <c r="R45">
        <v>14655</v>
      </c>
      <c r="S45">
        <v>0.7</v>
      </c>
      <c r="T45">
        <v>11555.3</v>
      </c>
      <c r="U45">
        <v>68922.533333333296</v>
      </c>
      <c r="V45">
        <v>14817.856460000001</v>
      </c>
    </row>
    <row r="46" spans="1:22" x14ac:dyDescent="0.25">
      <c r="A46" s="1">
        <v>42887</v>
      </c>
      <c r="B46">
        <v>7.3422166666666602</v>
      </c>
      <c r="C46">
        <v>68754.3</v>
      </c>
      <c r="D46">
        <v>58450.963329999999</v>
      </c>
      <c r="E46">
        <v>244.45406</v>
      </c>
      <c r="F46">
        <v>127650.414</v>
      </c>
      <c r="G46">
        <v>15500.04</v>
      </c>
      <c r="H46">
        <v>2477.7800000000002</v>
      </c>
      <c r="I46">
        <v>62646.766669999997</v>
      </c>
      <c r="J46">
        <v>647.4</v>
      </c>
      <c r="K46">
        <v>3</v>
      </c>
      <c r="L46">
        <v>19506.949000000001</v>
      </c>
      <c r="M46">
        <v>117992.10980000001</v>
      </c>
      <c r="N46">
        <v>99.820999999999998</v>
      </c>
      <c r="O46">
        <v>-11061.2</v>
      </c>
      <c r="P46">
        <v>2.115212557</v>
      </c>
      <c r="Q46">
        <v>17179.231469999999</v>
      </c>
      <c r="R46">
        <v>15038</v>
      </c>
      <c r="S46">
        <v>0.95</v>
      </c>
      <c r="T46">
        <v>13207.6</v>
      </c>
      <c r="U46">
        <v>73707.966666666602</v>
      </c>
      <c r="V46">
        <v>14701.4514699999</v>
      </c>
    </row>
    <row r="47" spans="1:22" x14ac:dyDescent="0.25">
      <c r="A47" s="1">
        <v>42979</v>
      </c>
      <c r="B47">
        <v>7.3058266666666603</v>
      </c>
      <c r="C47">
        <v>69735.833333333299</v>
      </c>
      <c r="D47">
        <v>60040.99</v>
      </c>
      <c r="E47">
        <v>245.7843933</v>
      </c>
      <c r="F47">
        <v>130291.6691</v>
      </c>
      <c r="G47">
        <v>14939.87</v>
      </c>
      <c r="H47">
        <v>3080.6</v>
      </c>
      <c r="I47">
        <v>62242.5</v>
      </c>
      <c r="J47">
        <v>2025.2</v>
      </c>
      <c r="K47">
        <v>3</v>
      </c>
      <c r="L47">
        <v>19660.766</v>
      </c>
      <c r="M47">
        <v>117906.12699999999</v>
      </c>
      <c r="N47">
        <v>100.123</v>
      </c>
      <c r="O47">
        <v>-13291.866669999999</v>
      </c>
      <c r="P47">
        <v>2.1607237160000001</v>
      </c>
      <c r="Q47">
        <v>18703.369610000002</v>
      </c>
      <c r="R47">
        <v>14863.5</v>
      </c>
      <c r="S47">
        <v>1.1499999999999999</v>
      </c>
      <c r="T47">
        <v>13808.2</v>
      </c>
      <c r="U47">
        <v>75534.366666666596</v>
      </c>
      <c r="V47">
        <v>15622.769609999999</v>
      </c>
    </row>
    <row r="48" spans="1:22" x14ac:dyDescent="0.25">
      <c r="A48" s="1">
        <v>43070</v>
      </c>
      <c r="B48">
        <v>7.3429466666666601</v>
      </c>
      <c r="C48">
        <v>71325.3</v>
      </c>
      <c r="D48">
        <v>59927.47</v>
      </c>
      <c r="E48">
        <v>247.33489</v>
      </c>
      <c r="F48">
        <v>136882.62280000001</v>
      </c>
      <c r="G48">
        <v>15382.7</v>
      </c>
      <c r="H48">
        <v>4594.75</v>
      </c>
      <c r="I48">
        <v>65808.966669999994</v>
      </c>
      <c r="J48">
        <v>5734.9</v>
      </c>
      <c r="K48">
        <v>2.8333333330000001</v>
      </c>
      <c r="L48">
        <v>19882.351999999999</v>
      </c>
      <c r="M48">
        <v>122541.31299999999</v>
      </c>
      <c r="N48">
        <v>100.568</v>
      </c>
      <c r="O48">
        <v>-11374.46667</v>
      </c>
      <c r="P48">
        <v>2.0497434210000001</v>
      </c>
      <c r="Q48">
        <v>18974.166939999999</v>
      </c>
      <c r="R48">
        <v>15430.3</v>
      </c>
      <c r="S48">
        <v>1.2</v>
      </c>
      <c r="T48">
        <v>16570.5</v>
      </c>
      <c r="U48">
        <v>77183.433333333305</v>
      </c>
      <c r="V48">
        <v>14379.416939999999</v>
      </c>
    </row>
    <row r="49" spans="1:22" x14ac:dyDescent="0.25">
      <c r="A49" s="1">
        <v>43160</v>
      </c>
      <c r="B49">
        <v>7.3764066666666599</v>
      </c>
      <c r="C49">
        <v>73555.100000000006</v>
      </c>
      <c r="D49">
        <v>59720.916669999999</v>
      </c>
      <c r="E49">
        <v>248.88079329999999</v>
      </c>
      <c r="F49">
        <v>136945.13449999999</v>
      </c>
      <c r="G49">
        <v>14896.95</v>
      </c>
      <c r="H49">
        <v>1926.93</v>
      </c>
      <c r="I49">
        <v>66981.8</v>
      </c>
      <c r="J49">
        <v>-1253.5999999999999</v>
      </c>
      <c r="K49">
        <v>2.75</v>
      </c>
      <c r="L49">
        <v>20044.077000000001</v>
      </c>
      <c r="M49">
        <v>123947.76579999999</v>
      </c>
      <c r="N49">
        <v>101.208</v>
      </c>
      <c r="O49">
        <v>-10698.53333</v>
      </c>
      <c r="P49">
        <v>1.8790621219999999</v>
      </c>
      <c r="Q49">
        <v>17033.9486</v>
      </c>
      <c r="R49">
        <v>15217.4</v>
      </c>
      <c r="S49">
        <v>1.45</v>
      </c>
      <c r="T49">
        <v>12036.8</v>
      </c>
      <c r="U49">
        <v>77680.333333333299</v>
      </c>
      <c r="V49">
        <v>15107.018599999999</v>
      </c>
    </row>
    <row r="50" spans="1:22" x14ac:dyDescent="0.25">
      <c r="A50" s="1">
        <v>43252</v>
      </c>
      <c r="B50">
        <v>7.4637533333333304</v>
      </c>
      <c r="C50">
        <v>76247.3</v>
      </c>
      <c r="D50">
        <v>60056.45</v>
      </c>
      <c r="E50">
        <v>250.48421329999999</v>
      </c>
      <c r="F50">
        <v>134587.61300000001</v>
      </c>
      <c r="G50">
        <v>17764.87</v>
      </c>
      <c r="H50">
        <v>3001.17</v>
      </c>
      <c r="I50">
        <v>66262.600000000006</v>
      </c>
      <c r="J50">
        <v>1863.5</v>
      </c>
      <c r="K50">
        <v>2.75</v>
      </c>
      <c r="L50">
        <v>20150.475999999999</v>
      </c>
      <c r="M50">
        <v>123023.06110000001</v>
      </c>
      <c r="N50">
        <v>101.751</v>
      </c>
      <c r="O50">
        <v>-12006.733329999999</v>
      </c>
      <c r="P50">
        <v>2.1008642580000001</v>
      </c>
      <c r="Q50">
        <v>18724.954030000001</v>
      </c>
      <c r="R50">
        <v>15450.7</v>
      </c>
      <c r="S50">
        <v>1.74</v>
      </c>
      <c r="T50">
        <v>14312.9</v>
      </c>
      <c r="U50">
        <v>78269.333333333299</v>
      </c>
      <c r="V50">
        <v>15723.784030000001</v>
      </c>
    </row>
    <row r="51" spans="1:22" x14ac:dyDescent="0.25">
      <c r="A51" s="1">
        <v>43344</v>
      </c>
      <c r="B51">
        <v>7.5831233333333303</v>
      </c>
      <c r="C51">
        <v>79246.5</v>
      </c>
      <c r="D51">
        <v>61896.513330000002</v>
      </c>
      <c r="E51">
        <v>252.45359669999999</v>
      </c>
      <c r="F51">
        <v>136449.39689999999</v>
      </c>
      <c r="G51">
        <v>18377.71</v>
      </c>
      <c r="H51">
        <v>3841.12</v>
      </c>
      <c r="I51">
        <v>66404.399999999994</v>
      </c>
      <c r="J51">
        <v>3120.5</v>
      </c>
      <c r="K51">
        <v>2.75</v>
      </c>
      <c r="L51">
        <v>20276.153999999999</v>
      </c>
      <c r="M51">
        <v>122027.6174</v>
      </c>
      <c r="N51">
        <v>102.07599999999999</v>
      </c>
      <c r="O51">
        <v>-13776.233329999999</v>
      </c>
      <c r="P51">
        <v>2.1152176319999998</v>
      </c>
      <c r="Q51">
        <v>19486.307479999999</v>
      </c>
      <c r="R51">
        <v>15601.2</v>
      </c>
      <c r="S51">
        <v>1.93</v>
      </c>
      <c r="T51">
        <v>14880.6</v>
      </c>
      <c r="U51">
        <v>80180.633333333302</v>
      </c>
      <c r="V51">
        <v>15645.187480000001</v>
      </c>
    </row>
    <row r="52" spans="1:22" x14ac:dyDescent="0.25">
      <c r="A52" s="1">
        <v>43435</v>
      </c>
      <c r="B52">
        <v>7.7238333333333298</v>
      </c>
      <c r="C52">
        <v>82032.433333333305</v>
      </c>
      <c r="D52">
        <v>63194.653330000001</v>
      </c>
      <c r="E52">
        <v>253.71710999999999</v>
      </c>
      <c r="F52">
        <v>143385.93770000001</v>
      </c>
      <c r="G52">
        <v>19033.189999999999</v>
      </c>
      <c r="H52">
        <v>5585.83</v>
      </c>
      <c r="I52">
        <v>71211.5</v>
      </c>
      <c r="J52">
        <v>6638.2</v>
      </c>
      <c r="K52">
        <v>2.75</v>
      </c>
      <c r="L52">
        <v>20304.874</v>
      </c>
      <c r="M52">
        <v>126445.4103</v>
      </c>
      <c r="N52">
        <v>102.55200000000001</v>
      </c>
      <c r="O52">
        <v>-13171.56667</v>
      </c>
      <c r="P52">
        <v>2.4261608699999999</v>
      </c>
      <c r="Q52">
        <v>20269.584900000002</v>
      </c>
      <c r="R52">
        <v>16072.8</v>
      </c>
      <c r="S52">
        <v>2.2200000000000002</v>
      </c>
      <c r="T52">
        <v>17125.099999999999</v>
      </c>
      <c r="U52">
        <v>84383.066666666593</v>
      </c>
      <c r="V52">
        <v>14683.7549</v>
      </c>
    </row>
    <row r="53" spans="1:22" x14ac:dyDescent="0.25">
      <c r="A53" s="1">
        <v>43525</v>
      </c>
      <c r="B53">
        <v>7.7176900000000002</v>
      </c>
      <c r="C53">
        <v>84438</v>
      </c>
      <c r="D53">
        <v>62673.466670000002</v>
      </c>
      <c r="E53">
        <v>254.64612</v>
      </c>
      <c r="F53">
        <v>144940.7132</v>
      </c>
      <c r="G53">
        <v>17014.64</v>
      </c>
      <c r="H53">
        <v>2773.28</v>
      </c>
      <c r="I53">
        <v>71414.399999999994</v>
      </c>
      <c r="J53">
        <v>532.4</v>
      </c>
      <c r="K53">
        <v>2.75</v>
      </c>
      <c r="L53">
        <v>20431.641</v>
      </c>
      <c r="M53">
        <v>128569.4599</v>
      </c>
      <c r="N53">
        <v>102.964</v>
      </c>
      <c r="O53">
        <v>-10782.03333</v>
      </c>
      <c r="P53">
        <v>2.3714054510000002</v>
      </c>
      <c r="Q53">
        <v>18858.334999999999</v>
      </c>
      <c r="R53">
        <v>15967.9</v>
      </c>
      <c r="S53">
        <v>2.4</v>
      </c>
      <c r="T53">
        <v>13727</v>
      </c>
      <c r="U53">
        <v>82196.433333333305</v>
      </c>
      <c r="V53">
        <v>16085.055</v>
      </c>
    </row>
    <row r="54" spans="1:22" x14ac:dyDescent="0.25">
      <c r="A54" s="1">
        <v>43617</v>
      </c>
      <c r="B54">
        <v>7.6943733333333304</v>
      </c>
      <c r="C54">
        <v>87118.966666666602</v>
      </c>
      <c r="D54">
        <v>67850.716669999994</v>
      </c>
      <c r="E54">
        <v>256.13247999999999</v>
      </c>
      <c r="F54">
        <v>145359.22760000001</v>
      </c>
      <c r="G54">
        <v>20944.64</v>
      </c>
      <c r="H54">
        <v>4012.2</v>
      </c>
      <c r="I54">
        <v>72860.366670000003</v>
      </c>
      <c r="J54">
        <v>3915.4</v>
      </c>
      <c r="K54">
        <v>2.75</v>
      </c>
      <c r="L54">
        <v>20602.275000000001</v>
      </c>
      <c r="M54">
        <v>127741.5585</v>
      </c>
      <c r="N54">
        <v>103.399</v>
      </c>
      <c r="O54">
        <v>-13542.9</v>
      </c>
      <c r="P54">
        <v>2.401428992</v>
      </c>
      <c r="Q54">
        <v>21780.63766</v>
      </c>
      <c r="R54">
        <v>16025.4</v>
      </c>
      <c r="S54">
        <v>2.4</v>
      </c>
      <c r="T54">
        <v>15928.7</v>
      </c>
      <c r="U54">
        <v>86403.266666666605</v>
      </c>
      <c r="V54">
        <v>17768.43766</v>
      </c>
    </row>
    <row r="55" spans="1:22" x14ac:dyDescent="0.25">
      <c r="A55" s="1">
        <v>43709</v>
      </c>
      <c r="B55">
        <v>7.6993433333333297</v>
      </c>
      <c r="C55">
        <v>87676.366666666596</v>
      </c>
      <c r="D55">
        <v>70302.803329999995</v>
      </c>
      <c r="E55">
        <v>257.52440000000001</v>
      </c>
      <c r="F55">
        <v>147623.62040000001</v>
      </c>
      <c r="G55">
        <v>21714.87</v>
      </c>
      <c r="H55">
        <v>4240.97</v>
      </c>
      <c r="I55">
        <v>75263.733330000003</v>
      </c>
      <c r="J55">
        <v>3439.3</v>
      </c>
      <c r="K55">
        <v>2.75</v>
      </c>
      <c r="L55">
        <v>20843.322</v>
      </c>
      <c r="M55">
        <v>126951.0665</v>
      </c>
      <c r="N55">
        <v>103.783</v>
      </c>
      <c r="O55">
        <v>-16293.2</v>
      </c>
      <c r="P55">
        <v>2.3500832479999998</v>
      </c>
      <c r="Q55">
        <v>21907.053209999998</v>
      </c>
      <c r="R55">
        <v>16698</v>
      </c>
      <c r="S55">
        <v>2.19</v>
      </c>
      <c r="T55">
        <v>15896.3</v>
      </c>
      <c r="U55">
        <v>91556.933333333305</v>
      </c>
      <c r="V55">
        <v>17666.083209999899</v>
      </c>
    </row>
    <row r="56" spans="1:22" x14ac:dyDescent="0.25">
      <c r="A56" s="1">
        <v>43800</v>
      </c>
      <c r="B56">
        <v>7.7037966666666602</v>
      </c>
      <c r="C56">
        <v>87158.133333333302</v>
      </c>
      <c r="D56">
        <v>69877.320000000007</v>
      </c>
      <c r="E56">
        <v>258.62581</v>
      </c>
      <c r="F56">
        <v>156048.45860000001</v>
      </c>
      <c r="G56">
        <v>21268.27</v>
      </c>
      <c r="H56">
        <v>5259.27</v>
      </c>
      <c r="I56">
        <v>79975.233330000003</v>
      </c>
      <c r="J56">
        <v>5394.4</v>
      </c>
      <c r="K56">
        <v>2.75</v>
      </c>
      <c r="L56">
        <v>20985.448</v>
      </c>
      <c r="M56">
        <v>132088.19820000001</v>
      </c>
      <c r="N56">
        <v>104.14700000000001</v>
      </c>
      <c r="O56">
        <v>-11295.233329999999</v>
      </c>
      <c r="P56">
        <v>2.2377247659999999</v>
      </c>
      <c r="Q56">
        <v>22862.949049999999</v>
      </c>
      <c r="R56">
        <v>17863.400000000001</v>
      </c>
      <c r="S56">
        <v>1.65</v>
      </c>
      <c r="T56">
        <v>17998.5</v>
      </c>
      <c r="U56">
        <v>91270.466666666602</v>
      </c>
      <c r="V56">
        <v>17603.679049999999</v>
      </c>
    </row>
    <row r="57" spans="1:22" x14ac:dyDescent="0.25">
      <c r="A57" s="1">
        <v>43891</v>
      </c>
      <c r="B57">
        <v>7.67584</v>
      </c>
      <c r="C57">
        <v>88474.9</v>
      </c>
      <c r="D57">
        <v>69139.003330000007</v>
      </c>
      <c r="E57">
        <v>259.74392999999998</v>
      </c>
      <c r="F57">
        <v>151214.1966</v>
      </c>
      <c r="G57">
        <v>18339.95</v>
      </c>
      <c r="H57">
        <v>2348.91</v>
      </c>
      <c r="I57">
        <v>80462.600000000006</v>
      </c>
      <c r="J57">
        <v>1384.3</v>
      </c>
      <c r="K57">
        <v>2.75</v>
      </c>
      <c r="L57">
        <v>20709.212</v>
      </c>
      <c r="M57">
        <v>129622.7911</v>
      </c>
      <c r="N57">
        <v>104.617</v>
      </c>
      <c r="O57">
        <v>-8944.4666670000006</v>
      </c>
      <c r="P57">
        <v>2.8536088290000001</v>
      </c>
      <c r="Q57">
        <v>19353.205979999999</v>
      </c>
      <c r="R57">
        <v>15511.7</v>
      </c>
      <c r="S57">
        <v>1.25</v>
      </c>
      <c r="T57">
        <v>14547</v>
      </c>
      <c r="U57">
        <v>89407.066666666593</v>
      </c>
      <c r="V57">
        <v>17004.295979999999</v>
      </c>
    </row>
    <row r="58" spans="1:22" x14ac:dyDescent="0.25">
      <c r="A58" s="1">
        <v>43983</v>
      </c>
      <c r="B58">
        <v>7.7007300000000001</v>
      </c>
      <c r="C58">
        <v>95995.533333333296</v>
      </c>
      <c r="D58">
        <v>80257.070000000007</v>
      </c>
      <c r="E58">
        <v>261.13720999999998</v>
      </c>
      <c r="F58">
        <v>136507.745</v>
      </c>
      <c r="G58">
        <v>19179.439999999999</v>
      </c>
      <c r="H58">
        <v>5170.58</v>
      </c>
      <c r="I58">
        <v>86471.533330000006</v>
      </c>
      <c r="J58">
        <v>7997.6</v>
      </c>
      <c r="K58">
        <v>2</v>
      </c>
      <c r="L58">
        <v>19077.991999999998</v>
      </c>
      <c r="M58">
        <v>115915.48</v>
      </c>
      <c r="N58">
        <v>104.42</v>
      </c>
      <c r="O58">
        <v>-19253.666669999999</v>
      </c>
      <c r="P58">
        <v>3.8512876760000001</v>
      </c>
      <c r="Q58">
        <v>18533.558809999999</v>
      </c>
      <c r="R58">
        <v>14852.3</v>
      </c>
      <c r="S58">
        <v>0.06</v>
      </c>
      <c r="T58">
        <v>17679.2</v>
      </c>
      <c r="U58">
        <v>105725.2</v>
      </c>
      <c r="V58">
        <v>13362.9788099999</v>
      </c>
    </row>
    <row r="59" spans="1:22" x14ac:dyDescent="0.25">
      <c r="A59" s="1">
        <v>44075</v>
      </c>
      <c r="B59">
        <v>7.7415466666666601</v>
      </c>
      <c r="C59">
        <v>106450.866666666</v>
      </c>
      <c r="D59">
        <v>80203.54333</v>
      </c>
      <c r="E59">
        <v>262.55973999999998</v>
      </c>
      <c r="F59">
        <v>150128.76259999999</v>
      </c>
      <c r="G59">
        <v>24618.3</v>
      </c>
      <c r="H59">
        <v>4046.98</v>
      </c>
      <c r="I59">
        <v>90994.166670000006</v>
      </c>
      <c r="J59">
        <v>10046.5</v>
      </c>
      <c r="K59">
        <v>1.75</v>
      </c>
      <c r="L59">
        <v>20558.879000000001</v>
      </c>
      <c r="M59">
        <v>125160.6939</v>
      </c>
      <c r="N59">
        <v>105.197</v>
      </c>
      <c r="O59">
        <v>-15631.166670000001</v>
      </c>
      <c r="P59">
        <v>2.9369959300000001</v>
      </c>
      <c r="Q59">
        <v>21288.22336</v>
      </c>
      <c r="R59">
        <v>15200.6</v>
      </c>
      <c r="S59">
        <v>0.09</v>
      </c>
      <c r="T59">
        <v>21200.2</v>
      </c>
      <c r="U59">
        <v>106625.33333333299</v>
      </c>
      <c r="V59">
        <v>17241.24336</v>
      </c>
    </row>
    <row r="60" spans="1:22" x14ac:dyDescent="0.25">
      <c r="A60" s="1">
        <v>44166</v>
      </c>
      <c r="B60">
        <v>7.80127333333333</v>
      </c>
      <c r="C60">
        <v>108339.76666666599</v>
      </c>
      <c r="D60">
        <v>81238.8</v>
      </c>
      <c r="E60">
        <v>264.52298000000002</v>
      </c>
      <c r="F60">
        <v>162271.79670000001</v>
      </c>
      <c r="G60">
        <v>25586.25</v>
      </c>
      <c r="H60">
        <v>6393.61</v>
      </c>
      <c r="I60">
        <v>99137.2</v>
      </c>
      <c r="J60">
        <v>10035</v>
      </c>
      <c r="K60">
        <v>1.75</v>
      </c>
      <c r="L60">
        <v>20791.917000000001</v>
      </c>
      <c r="M60">
        <v>135449.47159999999</v>
      </c>
      <c r="N60">
        <v>105.669</v>
      </c>
      <c r="O60">
        <v>-6475.1</v>
      </c>
      <c r="P60">
        <v>2.4125348409999998</v>
      </c>
      <c r="Q60">
        <v>23056.560389999999</v>
      </c>
      <c r="R60">
        <v>18501.099999999999</v>
      </c>
      <c r="S60">
        <v>0.09</v>
      </c>
      <c r="T60">
        <v>22142.5</v>
      </c>
      <c r="U60">
        <v>105612.3</v>
      </c>
      <c r="V60">
        <v>16662.9503899999</v>
      </c>
    </row>
    <row r="61" spans="1:22" x14ac:dyDescent="0.25">
      <c r="A61" s="1">
        <v>44256</v>
      </c>
      <c r="B61">
        <v>7.7368600000000001</v>
      </c>
      <c r="C61">
        <v>109420.433333333</v>
      </c>
      <c r="D61">
        <v>79943.94</v>
      </c>
      <c r="E61">
        <v>266.50148330000002</v>
      </c>
      <c r="F61">
        <v>162670.38089999999</v>
      </c>
      <c r="G61">
        <v>24247.8</v>
      </c>
      <c r="H61">
        <v>2488.9499999999998</v>
      </c>
      <c r="I61">
        <v>98907.833329999994</v>
      </c>
      <c r="J61">
        <v>-1692.9</v>
      </c>
      <c r="K61">
        <v>1.75</v>
      </c>
      <c r="L61">
        <v>21106.618999999999</v>
      </c>
      <c r="M61">
        <v>135446.13029999999</v>
      </c>
      <c r="N61">
        <v>106.572</v>
      </c>
      <c r="O61">
        <v>-3704.2</v>
      </c>
      <c r="P61">
        <v>2.160261153</v>
      </c>
      <c r="Q61">
        <v>24776.0262</v>
      </c>
      <c r="R61">
        <v>18918.7</v>
      </c>
      <c r="S61">
        <v>0.08</v>
      </c>
      <c r="T61">
        <v>14736.7</v>
      </c>
      <c r="U61">
        <v>102612.03333333301</v>
      </c>
      <c r="V61">
        <v>22284.60699</v>
      </c>
    </row>
    <row r="62" spans="1:22" x14ac:dyDescent="0.25">
      <c r="A62" s="1">
        <v>44348</v>
      </c>
      <c r="B62">
        <v>7.7277766666666601</v>
      </c>
      <c r="C62">
        <v>116875.26666666599</v>
      </c>
      <c r="D62">
        <v>79255.7</v>
      </c>
      <c r="E62">
        <v>268.26915330000003</v>
      </c>
      <c r="F62">
        <v>161775.4712</v>
      </c>
      <c r="G62">
        <v>29606.34</v>
      </c>
      <c r="H62">
        <v>3931.01</v>
      </c>
      <c r="I62">
        <v>100578.8333</v>
      </c>
      <c r="J62">
        <v>3450.5</v>
      </c>
      <c r="K62">
        <v>1.75</v>
      </c>
      <c r="L62">
        <v>21474.077000000001</v>
      </c>
      <c r="M62">
        <v>133932.0588</v>
      </c>
      <c r="N62">
        <v>108.087</v>
      </c>
      <c r="O62">
        <v>-10609.8</v>
      </c>
      <c r="P62">
        <v>1.922992324</v>
      </c>
      <c r="Q62">
        <v>25831.975460000001</v>
      </c>
      <c r="R62">
        <v>19224</v>
      </c>
      <c r="S62">
        <v>7.0000000000000007E-2</v>
      </c>
      <c r="T62">
        <v>18743.400000000001</v>
      </c>
      <c r="U62">
        <v>111188.633333333</v>
      </c>
      <c r="V62">
        <v>21898.662199999999</v>
      </c>
    </row>
    <row r="63" spans="1:22" x14ac:dyDescent="0.25">
      <c r="A63" s="1">
        <v>44440</v>
      </c>
      <c r="B63">
        <v>7.73691</v>
      </c>
      <c r="C63">
        <v>119694.933333333</v>
      </c>
      <c r="D63">
        <v>78753.42</v>
      </c>
      <c r="E63">
        <v>269.9800467</v>
      </c>
      <c r="F63">
        <v>167039.88200000001</v>
      </c>
      <c r="G63">
        <v>31274.400000000001</v>
      </c>
      <c r="H63">
        <v>4025.99</v>
      </c>
      <c r="I63">
        <v>102631.1</v>
      </c>
      <c r="J63">
        <v>1789.1</v>
      </c>
      <c r="K63">
        <v>1.75</v>
      </c>
      <c r="L63">
        <v>21641.671999999999</v>
      </c>
      <c r="M63">
        <v>135354.03210000001</v>
      </c>
      <c r="N63">
        <v>109.369</v>
      </c>
      <c r="O63">
        <v>-11579.3</v>
      </c>
      <c r="P63">
        <v>2.2021661109999999</v>
      </c>
      <c r="Q63">
        <v>28335.69656</v>
      </c>
      <c r="R63">
        <v>20481.599999999999</v>
      </c>
      <c r="S63">
        <v>0.09</v>
      </c>
      <c r="T63">
        <v>18244.8</v>
      </c>
      <c r="U63">
        <v>114210.4</v>
      </c>
      <c r="V63">
        <v>24309.775679999999</v>
      </c>
    </row>
    <row r="64" spans="1:22" x14ac:dyDescent="0.25">
      <c r="A64" s="1">
        <v>44531</v>
      </c>
      <c r="B64">
        <v>7.7281133333333303</v>
      </c>
      <c r="C64">
        <v>118948.566666666</v>
      </c>
      <c r="D64">
        <v>85680.93</v>
      </c>
      <c r="E64">
        <v>272.82904000000002</v>
      </c>
      <c r="F64">
        <v>177194.8</v>
      </c>
      <c r="G64">
        <v>33131.69</v>
      </c>
      <c r="H64">
        <v>5361.42</v>
      </c>
      <c r="I64">
        <v>111331</v>
      </c>
      <c r="J64">
        <v>4224.2</v>
      </c>
      <c r="K64">
        <v>1.75</v>
      </c>
      <c r="L64">
        <v>22001.64</v>
      </c>
      <c r="M64">
        <v>142119.1741</v>
      </c>
      <c r="N64">
        <v>110.792</v>
      </c>
      <c r="O64">
        <v>-16324.766670000001</v>
      </c>
      <c r="P64">
        <v>2.387761636</v>
      </c>
      <c r="Q64">
        <v>28935.322189999999</v>
      </c>
      <c r="R64">
        <v>23670.799999999999</v>
      </c>
      <c r="S64">
        <v>0.08</v>
      </c>
      <c r="T64">
        <v>22533.5</v>
      </c>
      <c r="U64">
        <v>127655.76666666599</v>
      </c>
      <c r="V64">
        <v>23578.605539999899</v>
      </c>
    </row>
    <row r="65" spans="1:22" x14ac:dyDescent="0.25">
      <c r="A65" s="1">
        <v>44621</v>
      </c>
      <c r="B65">
        <v>7.6944266666666596</v>
      </c>
      <c r="C65">
        <v>120110.233333333</v>
      </c>
      <c r="D65">
        <v>84650.61</v>
      </c>
      <c r="E65">
        <v>277.00576999999998</v>
      </c>
      <c r="F65">
        <v>179170.9638</v>
      </c>
      <c r="G65">
        <v>30286.65</v>
      </c>
      <c r="H65">
        <v>3469.45</v>
      </c>
      <c r="I65">
        <v>110072.8667</v>
      </c>
      <c r="J65">
        <v>-1197.2</v>
      </c>
      <c r="K65">
        <v>1.75</v>
      </c>
      <c r="L65">
        <v>21945.68</v>
      </c>
      <c r="M65">
        <v>141576.7346</v>
      </c>
      <c r="N65">
        <v>112.453</v>
      </c>
      <c r="O65">
        <v>-15074.9</v>
      </c>
      <c r="P65">
        <v>2.6373423030000001</v>
      </c>
      <c r="Q65">
        <v>29455.407179999998</v>
      </c>
      <c r="R65">
        <v>21813.9</v>
      </c>
      <c r="S65">
        <v>0.12</v>
      </c>
      <c r="T65">
        <v>17147.099999999999</v>
      </c>
      <c r="U65">
        <v>125147.76666666599</v>
      </c>
      <c r="V65">
        <v>25981.348399999999</v>
      </c>
    </row>
    <row r="66" spans="1:22" x14ac:dyDescent="0.25">
      <c r="A66" s="1">
        <v>44713</v>
      </c>
      <c r="B66">
        <v>7.7018633333333302</v>
      </c>
      <c r="C66">
        <v>123694.866666666</v>
      </c>
      <c r="D66">
        <v>82181.070000000007</v>
      </c>
      <c r="E66">
        <v>283.29858999999999</v>
      </c>
      <c r="F66">
        <v>179610.45920000001</v>
      </c>
      <c r="G66">
        <v>36781.919999999998</v>
      </c>
      <c r="H66">
        <v>4325.78</v>
      </c>
      <c r="I66">
        <v>113914.0667</v>
      </c>
      <c r="J66">
        <v>2630.4</v>
      </c>
      <c r="K66">
        <v>2</v>
      </c>
      <c r="L66">
        <v>21976.292000000001</v>
      </c>
      <c r="M66">
        <v>140282.2899</v>
      </c>
      <c r="N66">
        <v>113.795</v>
      </c>
      <c r="O66">
        <v>-15217.9</v>
      </c>
      <c r="P66">
        <v>2.8442305999999999</v>
      </c>
      <c r="Q66">
        <v>29874.793140000002</v>
      </c>
      <c r="R66">
        <v>22841</v>
      </c>
      <c r="S66">
        <v>0.77</v>
      </c>
      <c r="T66">
        <v>21145.599999999999</v>
      </c>
      <c r="U66">
        <v>129131.96666666601</v>
      </c>
      <c r="V66">
        <v>25548.35212</v>
      </c>
    </row>
    <row r="67" spans="1:22" x14ac:dyDescent="0.25">
      <c r="A67" s="1">
        <v>44805</v>
      </c>
      <c r="B67">
        <v>7.7861366666666596</v>
      </c>
      <c r="C67">
        <v>126774.96666666601</v>
      </c>
      <c r="D67">
        <v>85630.963329999999</v>
      </c>
      <c r="E67">
        <v>289.78011670000001</v>
      </c>
      <c r="F67">
        <v>185624.1851</v>
      </c>
      <c r="G67">
        <v>35902.29</v>
      </c>
      <c r="H67">
        <v>4178.7299999999996</v>
      </c>
      <c r="I67">
        <v>115497.73330000001</v>
      </c>
      <c r="J67">
        <v>2908</v>
      </c>
      <c r="K67">
        <v>2.6666666669999999</v>
      </c>
      <c r="L67">
        <v>22124.383999999998</v>
      </c>
      <c r="M67">
        <v>140728.09880000001</v>
      </c>
      <c r="N67">
        <v>115.23099999999999</v>
      </c>
      <c r="O67">
        <v>-18709.3</v>
      </c>
      <c r="P67">
        <v>2.8933898509999998</v>
      </c>
      <c r="Q67">
        <v>31995.084289999999</v>
      </c>
      <c r="R67">
        <v>23905.1</v>
      </c>
      <c r="S67">
        <v>2.1800000000000002</v>
      </c>
      <c r="T67">
        <v>22634.5</v>
      </c>
      <c r="U67">
        <v>134207.03333333301</v>
      </c>
      <c r="V67">
        <v>27847.954989999998</v>
      </c>
    </row>
    <row r="68" spans="1:22" x14ac:dyDescent="0.25">
      <c r="A68" s="1">
        <v>44896</v>
      </c>
      <c r="B68">
        <v>7.8407099999999996</v>
      </c>
      <c r="C68">
        <v>127635.96666666601</v>
      </c>
      <c r="D68">
        <v>86784.106669999994</v>
      </c>
      <c r="E68">
        <v>295.03643670000002</v>
      </c>
      <c r="F68">
        <v>196401.8849</v>
      </c>
      <c r="G68">
        <v>37000.78</v>
      </c>
      <c r="H68">
        <v>6471.33</v>
      </c>
      <c r="I68">
        <v>123170.5333</v>
      </c>
      <c r="J68">
        <v>8220.5</v>
      </c>
      <c r="K68">
        <v>3.5</v>
      </c>
      <c r="L68">
        <v>22272.545999999998</v>
      </c>
      <c r="M68">
        <v>146985.53450000001</v>
      </c>
      <c r="N68">
        <v>116.565</v>
      </c>
      <c r="O68">
        <v>-15959</v>
      </c>
      <c r="P68">
        <v>2.4619109680000002</v>
      </c>
      <c r="Q68">
        <v>32441.250189999999</v>
      </c>
      <c r="R68">
        <v>24604</v>
      </c>
      <c r="S68">
        <v>3.65</v>
      </c>
      <c r="T68">
        <v>26353.1</v>
      </c>
      <c r="U68">
        <v>139129.53333333301</v>
      </c>
      <c r="V68">
        <v>25969.18636</v>
      </c>
    </row>
    <row r="69" spans="1:22" x14ac:dyDescent="0.25">
      <c r="A69" s="1">
        <v>44986</v>
      </c>
      <c r="B69">
        <v>7.8222766666666601</v>
      </c>
      <c r="C69">
        <v>126619.96666666601</v>
      </c>
      <c r="D69">
        <v>86448.363329999993</v>
      </c>
      <c r="E69">
        <v>298.8864567</v>
      </c>
      <c r="F69">
        <v>200405.8419</v>
      </c>
      <c r="G69">
        <v>34674.17</v>
      </c>
      <c r="H69">
        <v>4141.24</v>
      </c>
      <c r="I69">
        <v>124961.1667</v>
      </c>
      <c r="J69">
        <v>156.6</v>
      </c>
      <c r="K69">
        <v>4.4166666670000003</v>
      </c>
      <c r="L69">
        <v>22456.937999999998</v>
      </c>
      <c r="M69">
        <v>147227.42720000001</v>
      </c>
      <c r="N69">
        <v>117.916</v>
      </c>
      <c r="O69">
        <v>-10342.9</v>
      </c>
      <c r="P69">
        <v>2.1918138859999998</v>
      </c>
      <c r="Q69">
        <v>32564.354859999999</v>
      </c>
      <c r="R69">
        <v>24379.1</v>
      </c>
      <c r="S69">
        <v>4.51</v>
      </c>
      <c r="T69">
        <v>20394.400000000001</v>
      </c>
      <c r="U69">
        <v>135304.06666666601</v>
      </c>
      <c r="V69">
        <v>28370.37227</v>
      </c>
    </row>
    <row r="70" spans="1:22" x14ac:dyDescent="0.25">
      <c r="A70" s="1">
        <v>45078</v>
      </c>
      <c r="B70">
        <v>7.8280533333333304</v>
      </c>
      <c r="C70">
        <v>125572.866666666</v>
      </c>
      <c r="D70">
        <v>88472.6</v>
      </c>
      <c r="E70">
        <v>302.07290669999998</v>
      </c>
      <c r="F70">
        <v>200133.2996</v>
      </c>
      <c r="G70">
        <v>40904.17</v>
      </c>
      <c r="H70">
        <v>5204.7700000000004</v>
      </c>
      <c r="I70">
        <v>129107.8667</v>
      </c>
      <c r="J70">
        <v>4433.3</v>
      </c>
      <c r="K70">
        <v>4.9166666670000003</v>
      </c>
      <c r="L70">
        <v>22577.556</v>
      </c>
      <c r="M70">
        <v>146133.63920000001</v>
      </c>
      <c r="N70">
        <v>119.069</v>
      </c>
      <c r="O70">
        <v>-8498.4666670000006</v>
      </c>
      <c r="P70">
        <v>2.287067435</v>
      </c>
      <c r="Q70">
        <v>32620.440750000002</v>
      </c>
      <c r="R70">
        <v>24481.7</v>
      </c>
      <c r="S70">
        <v>4.99</v>
      </c>
      <c r="T70">
        <v>23710.3</v>
      </c>
      <c r="U70">
        <v>137606.33333333299</v>
      </c>
      <c r="V70">
        <v>27376.241190000001</v>
      </c>
    </row>
    <row r="71" spans="1:22" x14ac:dyDescent="0.25">
      <c r="A71" s="1">
        <v>45170</v>
      </c>
      <c r="B71">
        <v>7.8662666666666601</v>
      </c>
      <c r="C71">
        <v>125472.2</v>
      </c>
      <c r="D71">
        <v>93900.75</v>
      </c>
      <c r="E71">
        <v>305.4326433</v>
      </c>
      <c r="F71">
        <v>203402.0172</v>
      </c>
      <c r="G71">
        <v>40241.4</v>
      </c>
      <c r="H71">
        <v>5050.7700000000004</v>
      </c>
      <c r="I71">
        <v>128729.9333</v>
      </c>
      <c r="J71">
        <v>2192.9</v>
      </c>
      <c r="K71">
        <v>5</v>
      </c>
      <c r="L71">
        <v>22828.795999999998</v>
      </c>
      <c r="M71">
        <v>146534.26500000001</v>
      </c>
      <c r="N71">
        <v>119.768</v>
      </c>
      <c r="O71">
        <v>-9253.3666670000002</v>
      </c>
      <c r="P71">
        <v>2.1491660459999999</v>
      </c>
      <c r="Q71">
        <v>34457.860359999999</v>
      </c>
      <c r="R71">
        <v>25669.4</v>
      </c>
      <c r="S71">
        <v>5.26</v>
      </c>
      <c r="T71">
        <v>22811.4</v>
      </c>
      <c r="U71">
        <v>137983.29999999999</v>
      </c>
      <c r="V71">
        <v>29395.435969999999</v>
      </c>
    </row>
    <row r="72" spans="1:22" x14ac:dyDescent="0.25">
      <c r="A72" s="1">
        <v>45261</v>
      </c>
      <c r="B72">
        <v>7.8292999999999999</v>
      </c>
      <c r="C72">
        <v>125163.2</v>
      </c>
      <c r="D72">
        <v>97289.753330000007</v>
      </c>
      <c r="E72">
        <v>309.02900670000002</v>
      </c>
      <c r="F72">
        <v>212918.7212</v>
      </c>
      <c r="G72">
        <v>39383.980000000003</v>
      </c>
      <c r="H72">
        <v>6083.22</v>
      </c>
      <c r="I72">
        <v>136839.96669999999</v>
      </c>
      <c r="J72">
        <v>3447.8</v>
      </c>
      <c r="K72">
        <v>5</v>
      </c>
      <c r="L72">
        <v>23033.25</v>
      </c>
      <c r="M72">
        <v>149750.77830000001</v>
      </c>
      <c r="N72">
        <v>120.402</v>
      </c>
      <c r="O72">
        <v>-11589.93333</v>
      </c>
      <c r="P72">
        <v>2.363699021</v>
      </c>
      <c r="Q72">
        <v>33894.64129</v>
      </c>
      <c r="R72">
        <v>27485.7</v>
      </c>
      <c r="S72">
        <v>5.33</v>
      </c>
      <c r="T72">
        <v>24850.3</v>
      </c>
      <c r="U72">
        <v>148429.9</v>
      </c>
      <c r="V72">
        <v>27951.355279999902</v>
      </c>
    </row>
    <row r="73" spans="1:22" x14ac:dyDescent="0.25">
      <c r="A73" s="1">
        <v>45352</v>
      </c>
      <c r="B73">
        <v>7.8079566666666604</v>
      </c>
      <c r="C73">
        <v>125109.133333333</v>
      </c>
      <c r="D73">
        <v>96347.296669999996</v>
      </c>
      <c r="E73">
        <v>309.89954999999998</v>
      </c>
      <c r="F73">
        <v>214033.10399999999</v>
      </c>
      <c r="G73">
        <v>36558.54</v>
      </c>
      <c r="H73">
        <v>2835.73</v>
      </c>
      <c r="I73">
        <v>138975.79999999999</v>
      </c>
      <c r="J73">
        <v>-3238.7</v>
      </c>
      <c r="K73">
        <v>5</v>
      </c>
      <c r="L73">
        <v>23115.974999999999</v>
      </c>
      <c r="M73">
        <v>151506.9411</v>
      </c>
      <c r="N73">
        <v>121.58799999999999</v>
      </c>
      <c r="O73">
        <v>-9667.5333329999994</v>
      </c>
      <c r="P73">
        <v>2.0677474309999999</v>
      </c>
      <c r="Q73">
        <v>33883.963170000003</v>
      </c>
      <c r="R73">
        <v>26305.599999999999</v>
      </c>
      <c r="S73">
        <v>5.33</v>
      </c>
      <c r="T73">
        <v>20231.2</v>
      </c>
      <c r="U73">
        <v>148643.33333333299</v>
      </c>
      <c r="V73">
        <v>31226.88176</v>
      </c>
    </row>
    <row r="74" spans="1:22" x14ac:dyDescent="0.25">
      <c r="A74" s="1">
        <v>45444</v>
      </c>
      <c r="B74">
        <v>7.7693733333333297</v>
      </c>
      <c r="C74">
        <v>126401.7</v>
      </c>
      <c r="D74">
        <v>95079.786670000001</v>
      </c>
      <c r="E74">
        <v>310.93436000000003</v>
      </c>
      <c r="F74">
        <v>213508.29639999999</v>
      </c>
      <c r="G74">
        <v>43420.99</v>
      </c>
      <c r="H74">
        <v>4234.41</v>
      </c>
      <c r="I74">
        <v>139066.86670000001</v>
      </c>
      <c r="J74">
        <v>1445.3</v>
      </c>
      <c r="K74">
        <v>5</v>
      </c>
      <c r="L74">
        <v>23320.074000000001</v>
      </c>
      <c r="M74">
        <v>151670.96299999999</v>
      </c>
      <c r="N74">
        <v>122.455</v>
      </c>
      <c r="O74">
        <v>-11590.266670000001</v>
      </c>
      <c r="P74">
        <v>1.9861221929999999</v>
      </c>
      <c r="Q74">
        <v>34375.397089999999</v>
      </c>
      <c r="R74">
        <v>26248.5</v>
      </c>
      <c r="S74">
        <v>5.33</v>
      </c>
      <c r="T74">
        <v>23459.3</v>
      </c>
      <c r="U74">
        <v>150657.13333333301</v>
      </c>
      <c r="V74">
        <v>30290.326649999999</v>
      </c>
    </row>
    <row r="75" spans="1:22" x14ac:dyDescent="0.25">
      <c r="A75" s="1">
        <v>45536</v>
      </c>
      <c r="B75">
        <v>7.7327866666666596</v>
      </c>
      <c r="C75">
        <v>130273.96666666601</v>
      </c>
      <c r="D75">
        <v>101258.04</v>
      </c>
      <c r="E75">
        <v>312.25083999999998</v>
      </c>
      <c r="F75">
        <v>219181.96220000001</v>
      </c>
      <c r="G75">
        <v>43022.5</v>
      </c>
      <c r="H75">
        <v>4468.28</v>
      </c>
      <c r="I75">
        <v>140395.20000000001</v>
      </c>
      <c r="J75">
        <v>1033.0999999999999</v>
      </c>
      <c r="K75">
        <v>4.9166666670000003</v>
      </c>
      <c r="L75">
        <v>23501.759999999998</v>
      </c>
      <c r="M75">
        <v>151871.83350000001</v>
      </c>
      <c r="N75">
        <v>123.16800000000001</v>
      </c>
      <c r="O75">
        <v>-21995.466670000002</v>
      </c>
      <c r="P75">
        <v>2.1278686969999998</v>
      </c>
      <c r="Q75">
        <v>35783.540439999997</v>
      </c>
      <c r="R75">
        <v>27237.5</v>
      </c>
      <c r="S75">
        <v>5.26</v>
      </c>
      <c r="T75">
        <v>23802.3</v>
      </c>
      <c r="U75">
        <v>162390.66666666599</v>
      </c>
      <c r="V75">
        <v>31767.947800000002</v>
      </c>
    </row>
    <row r="76" spans="1:22" x14ac:dyDescent="0.25">
      <c r="A76" s="1">
        <v>45627</v>
      </c>
      <c r="B76">
        <v>7.7162333333333297</v>
      </c>
      <c r="C76">
        <v>127927.76666666599</v>
      </c>
      <c r="D76">
        <v>104477.89</v>
      </c>
      <c r="E76">
        <v>314.14589999999998</v>
      </c>
      <c r="F76">
        <v>231539.9382</v>
      </c>
      <c r="G76">
        <v>43791.44</v>
      </c>
      <c r="H76">
        <v>9276.64</v>
      </c>
      <c r="I76">
        <v>148494.5</v>
      </c>
      <c r="J76">
        <v>9194.7000000000007</v>
      </c>
      <c r="K76">
        <v>4.5833333329999997</v>
      </c>
      <c r="L76">
        <v>23641.758999999998</v>
      </c>
      <c r="M76">
        <v>156505.18280000001</v>
      </c>
      <c r="N76">
        <v>123.997</v>
      </c>
      <c r="O76">
        <v>-17108.533329999998</v>
      </c>
      <c r="P76">
        <v>2.049088899</v>
      </c>
      <c r="Q76">
        <v>36169.172480000001</v>
      </c>
      <c r="R76">
        <v>29259.599999999999</v>
      </c>
      <c r="S76">
        <v>4.6500000000000004</v>
      </c>
      <c r="T76">
        <v>29177.7</v>
      </c>
      <c r="U76">
        <v>165603.03333333301</v>
      </c>
      <c r="V76">
        <v>27421.634389999999</v>
      </c>
    </row>
    <row r="77" spans="1:22" x14ac:dyDescent="0.25">
      <c r="A77" s="1">
        <v>45717</v>
      </c>
      <c r="B77">
        <v>7.7186966666666601</v>
      </c>
      <c r="C77">
        <v>130856.233333333</v>
      </c>
      <c r="D77">
        <v>104991.9167</v>
      </c>
      <c r="E77">
        <v>315.13315999999998</v>
      </c>
      <c r="F77">
        <v>230802.61009999999</v>
      </c>
      <c r="G77">
        <v>43552.6</v>
      </c>
      <c r="H77">
        <v>4328.3599999999997</v>
      </c>
      <c r="I77">
        <v>147687.1</v>
      </c>
      <c r="J77">
        <v>-495.9</v>
      </c>
      <c r="K77">
        <v>4.5</v>
      </c>
      <c r="L77">
        <v>23650.21</v>
      </c>
      <c r="M77">
        <v>157241.98389999999</v>
      </c>
      <c r="N77">
        <v>125</v>
      </c>
      <c r="O77">
        <v>-16054.93333</v>
      </c>
      <c r="P77">
        <v>1.9822272249999999</v>
      </c>
      <c r="Q77">
        <v>38438.289239999998</v>
      </c>
      <c r="R77">
        <v>28812.5</v>
      </c>
      <c r="S77">
        <v>4.33</v>
      </c>
      <c r="T77">
        <v>23988.3</v>
      </c>
      <c r="U77">
        <v>163742.03333333301</v>
      </c>
      <c r="V77">
        <v>34099.610679999998</v>
      </c>
    </row>
    <row r="78" spans="1:22" x14ac:dyDescent="0.25">
      <c r="A78" s="1">
        <v>45809</v>
      </c>
      <c r="B78">
        <v>7.6848433333333297</v>
      </c>
      <c r="C78">
        <v>137886.20000000001</v>
      </c>
      <c r="D78">
        <v>104441.18</v>
      </c>
      <c r="E78">
        <v>316.40303</v>
      </c>
      <c r="F78">
        <v>231747.84659999999</v>
      </c>
      <c r="G78">
        <v>49833.63</v>
      </c>
      <c r="H78">
        <v>6506.37</v>
      </c>
      <c r="I78">
        <v>157964.76670000001</v>
      </c>
      <c r="J78">
        <v>4358.3</v>
      </c>
      <c r="K78">
        <v>4.5</v>
      </c>
      <c r="L78">
        <v>23884.562999999998</v>
      </c>
      <c r="M78">
        <v>157719.58799999999</v>
      </c>
      <c r="N78">
        <v>125.804</v>
      </c>
      <c r="O78">
        <v>-21962.2</v>
      </c>
      <c r="P78">
        <v>1.9572828929999999</v>
      </c>
      <c r="Q78">
        <v>38942.990089999999</v>
      </c>
      <c r="R78">
        <v>28381.599999999999</v>
      </c>
      <c r="S78">
        <v>4.33</v>
      </c>
      <c r="T78">
        <v>26233.599999999999</v>
      </c>
      <c r="U78">
        <v>179926.96666666601</v>
      </c>
      <c r="V78">
        <v>32288.342259999899</v>
      </c>
    </row>
    <row r="79" spans="1:22" x14ac:dyDescent="0.25">
      <c r="A79" s="1">
        <v>45901</v>
      </c>
      <c r="B79">
        <v>7.6622300000000001</v>
      </c>
      <c r="C79">
        <v>137653.46666666601</v>
      </c>
      <c r="D79">
        <v>114871.0567</v>
      </c>
      <c r="E79">
        <v>317.69929330000002</v>
      </c>
      <c r="F79">
        <v>235583.08</v>
      </c>
      <c r="G79">
        <v>52416.65</v>
      </c>
      <c r="H79">
        <v>7877.3</v>
      </c>
      <c r="I79">
        <v>161306.1667</v>
      </c>
      <c r="J79">
        <v>4979.6000000000004</v>
      </c>
      <c r="K79">
        <v>4.25</v>
      </c>
      <c r="L79">
        <v>24112.966</v>
      </c>
      <c r="M79">
        <v>158743.29810000001</v>
      </c>
      <c r="N79">
        <v>126.699</v>
      </c>
      <c r="O79">
        <v>-28489.866669999999</v>
      </c>
      <c r="P79">
        <v>1.6785196499999999</v>
      </c>
      <c r="Q79">
        <v>40595.282460000002</v>
      </c>
      <c r="R79">
        <v>30354.9</v>
      </c>
      <c r="S79">
        <v>4.3</v>
      </c>
      <c r="T79">
        <v>27457.3</v>
      </c>
      <c r="U79">
        <v>189796.03333333301</v>
      </c>
      <c r="V79">
        <v>32957.461490000002</v>
      </c>
    </row>
    <row r="80" spans="1:22" x14ac:dyDescent="0.25">
      <c r="A80" s="1">
        <v>45992</v>
      </c>
      <c r="B80">
        <v>7.6599199999999996</v>
      </c>
      <c r="C80">
        <v>136880.83333333299</v>
      </c>
      <c r="D80">
        <v>114281.51</v>
      </c>
      <c r="E80">
        <v>318.98951</v>
      </c>
      <c r="F80">
        <v>248872.00390000001</v>
      </c>
      <c r="G80">
        <v>50263.1</v>
      </c>
      <c r="H80">
        <v>9857.0300000000007</v>
      </c>
      <c r="I80">
        <v>169382.8</v>
      </c>
      <c r="J80">
        <v>8990.7000000000007</v>
      </c>
      <c r="K80">
        <v>3.8333333330000001</v>
      </c>
      <c r="L80">
        <v>24125.478999999999</v>
      </c>
      <c r="M80">
        <v>164024.80069999999</v>
      </c>
      <c r="N80">
        <v>127.533</v>
      </c>
      <c r="O80">
        <v>-20890.733329999999</v>
      </c>
      <c r="P80">
        <v>1.487551308</v>
      </c>
      <c r="Q80">
        <v>40262.996160000002</v>
      </c>
      <c r="R80">
        <v>31685.5</v>
      </c>
      <c r="S80">
        <v>3.9</v>
      </c>
      <c r="T80">
        <v>30819.3</v>
      </c>
      <c r="U80">
        <v>190273.53333333301</v>
      </c>
      <c r="V80">
        <v>30405.96616</v>
      </c>
    </row>
    <row r="81" spans="1:22" x14ac:dyDescent="0.25">
      <c r="A81" s="1">
        <v>46082</v>
      </c>
      <c r="B81">
        <v>7.6592233329999999</v>
      </c>
      <c r="C81">
        <v>137766.8333</v>
      </c>
      <c r="D81">
        <v>113839.06</v>
      </c>
      <c r="E81">
        <v>320.43991</v>
      </c>
      <c r="F81">
        <v>248377.27040000001</v>
      </c>
      <c r="G81">
        <v>48173.17</v>
      </c>
      <c r="H81">
        <v>5298.9</v>
      </c>
      <c r="I81">
        <v>168787</v>
      </c>
      <c r="J81">
        <v>-578.4</v>
      </c>
      <c r="K81">
        <v>3.5833333330000001</v>
      </c>
      <c r="L81">
        <v>24274.383000000002</v>
      </c>
      <c r="M81">
        <v>164377.50380000001</v>
      </c>
      <c r="N81">
        <v>128.667</v>
      </c>
      <c r="O81">
        <v>-14579.2</v>
      </c>
      <c r="P81">
        <v>1.405673333</v>
      </c>
      <c r="Q81">
        <v>42172.915180000004</v>
      </c>
      <c r="R81">
        <v>31438.1</v>
      </c>
      <c r="S81">
        <v>3.64</v>
      </c>
      <c r="T81">
        <v>25560.799999999999</v>
      </c>
      <c r="U81">
        <v>183366.2</v>
      </c>
      <c r="V81">
        <v>36874.015180000002</v>
      </c>
    </row>
    <row r="82" spans="1:22" x14ac:dyDescent="0.25">
      <c r="A82" s="1">
        <v>46174</v>
      </c>
      <c r="B82">
        <v>7.6255966669999999</v>
      </c>
      <c r="C82">
        <v>141540.76670000001</v>
      </c>
      <c r="D82">
        <v>110446.5867</v>
      </c>
      <c r="E82">
        <v>322.28309330000002</v>
      </c>
      <c r="F82">
        <v>246494.07199999999</v>
      </c>
      <c r="G82">
        <v>50999.12</v>
      </c>
      <c r="H82">
        <v>6859.2</v>
      </c>
      <c r="I82">
        <v>175446.5</v>
      </c>
      <c r="J82">
        <v>6968.5</v>
      </c>
      <c r="K82">
        <v>3.5</v>
      </c>
      <c r="L82">
        <v>24408.010999999999</v>
      </c>
      <c r="M82">
        <v>164452.51240000001</v>
      </c>
      <c r="N82">
        <v>129.72</v>
      </c>
      <c r="O82">
        <v>-12703.866669999999</v>
      </c>
      <c r="P82">
        <v>1.1990616670000001</v>
      </c>
      <c r="Q82">
        <v>44803.493049999997</v>
      </c>
      <c r="R82">
        <v>31042.3</v>
      </c>
      <c r="S82">
        <v>3.63</v>
      </c>
      <c r="T82">
        <v>31151.599999999999</v>
      </c>
      <c r="U82">
        <v>188150.36670000001</v>
      </c>
      <c r="V82">
        <v>37944.29305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2"/>
  <sheetViews>
    <sheetView topLeftCell="A50" workbookViewId="0">
      <selection activeCell="D9" sqref="D9:D82"/>
    </sheetView>
  </sheetViews>
  <sheetFormatPr baseColWidth="10" defaultRowHeight="15" x14ac:dyDescent="0.25"/>
  <cols>
    <col min="3" max="3" width="12.85546875" bestFit="1" customWidth="1"/>
    <col min="4" max="4" width="17" bestFit="1" customWidth="1"/>
    <col min="5" max="6" width="13.140625" bestFit="1" customWidth="1"/>
  </cols>
  <sheetData>
    <row r="1" spans="1:6" x14ac:dyDescent="0.25">
      <c r="A1" t="s">
        <v>0</v>
      </c>
      <c r="B1" t="s">
        <v>12</v>
      </c>
      <c r="C1" t="str">
        <f>_xlfn.CONCAT(B1,"_SM")</f>
        <v>GDP_SM</v>
      </c>
      <c r="D1" t="str">
        <f>_xlfn.CONCAT(C1,"_yoy")</f>
        <v>GDP_SM_yoy</v>
      </c>
      <c r="E1" t="s">
        <v>25</v>
      </c>
      <c r="F1" t="s">
        <v>24</v>
      </c>
    </row>
    <row r="2" spans="1:6" x14ac:dyDescent="0.25">
      <c r="A2" s="1">
        <v>38869</v>
      </c>
      <c r="B2">
        <v>79399.399999999994</v>
      </c>
    </row>
    <row r="3" spans="1:6" x14ac:dyDescent="0.25">
      <c r="A3" s="1">
        <v>38961</v>
      </c>
      <c r="B3">
        <v>80781.3</v>
      </c>
    </row>
    <row r="4" spans="1:6" x14ac:dyDescent="0.25">
      <c r="A4" s="1">
        <v>39052</v>
      </c>
      <c r="B4">
        <v>85047.2</v>
      </c>
    </row>
    <row r="5" spans="1:6" x14ac:dyDescent="0.25">
      <c r="A5" s="1">
        <v>39142</v>
      </c>
      <c r="B5">
        <v>88341.8</v>
      </c>
      <c r="C5">
        <f>SUM(B2:B5)</f>
        <v>333569.7</v>
      </c>
    </row>
    <row r="6" spans="1:6" x14ac:dyDescent="0.25">
      <c r="A6" s="1">
        <v>39234</v>
      </c>
      <c r="B6">
        <v>85226.5</v>
      </c>
      <c r="C6">
        <f t="shared" ref="C6:C69" si="0">SUM(B3:B6)</f>
        <v>339396.8</v>
      </c>
    </row>
    <row r="7" spans="1:6" x14ac:dyDescent="0.25">
      <c r="A7" s="1">
        <v>39326</v>
      </c>
      <c r="B7">
        <v>85488.2</v>
      </c>
      <c r="C7">
        <f t="shared" si="0"/>
        <v>344103.7</v>
      </c>
    </row>
    <row r="8" spans="1:6" x14ac:dyDescent="0.25">
      <c r="A8" s="1">
        <v>39417</v>
      </c>
      <c r="B8">
        <v>89195</v>
      </c>
      <c r="C8">
        <f t="shared" si="0"/>
        <v>348251.5</v>
      </c>
    </row>
    <row r="9" spans="1:6" x14ac:dyDescent="0.25">
      <c r="A9" s="1">
        <v>39508</v>
      </c>
      <c r="B9">
        <v>90929.600000000006</v>
      </c>
      <c r="C9">
        <f t="shared" si="0"/>
        <v>350839.30000000005</v>
      </c>
      <c r="D9">
        <f>((C9/C5)-1)*100</f>
        <v>5.177208841210712</v>
      </c>
    </row>
    <row r="10" spans="1:6" x14ac:dyDescent="0.25">
      <c r="A10" s="1">
        <v>39600</v>
      </c>
      <c r="B10">
        <v>90145.1</v>
      </c>
      <c r="C10">
        <f t="shared" si="0"/>
        <v>355757.9</v>
      </c>
      <c r="D10">
        <f t="shared" ref="D10:D73" si="1">((C10/C6)-1)*100</f>
        <v>4.8206406188862294</v>
      </c>
    </row>
    <row r="11" spans="1:6" x14ac:dyDescent="0.25">
      <c r="A11" s="1">
        <v>39692</v>
      </c>
      <c r="B11">
        <v>88192.3</v>
      </c>
      <c r="C11">
        <f t="shared" si="0"/>
        <v>358462</v>
      </c>
      <c r="D11">
        <f t="shared" si="1"/>
        <v>4.17266655371622</v>
      </c>
    </row>
    <row r="12" spans="1:6" x14ac:dyDescent="0.25">
      <c r="A12" s="1">
        <v>39783</v>
      </c>
      <c r="B12">
        <v>91738.9</v>
      </c>
      <c r="C12">
        <f t="shared" si="0"/>
        <v>361005.9</v>
      </c>
      <c r="D12">
        <f t="shared" si="1"/>
        <v>3.6624106428830849</v>
      </c>
    </row>
    <row r="13" spans="1:6" x14ac:dyDescent="0.25">
      <c r="A13" s="1">
        <v>39873</v>
      </c>
      <c r="B13">
        <v>90819.8</v>
      </c>
      <c r="C13">
        <f t="shared" si="0"/>
        <v>360896.10000000003</v>
      </c>
      <c r="D13">
        <f t="shared" si="1"/>
        <v>2.8664975674047799</v>
      </c>
      <c r="E13">
        <f>AVERAGE(D9:D12)</f>
        <v>4.4582316641740611</v>
      </c>
      <c r="F13">
        <f>D13-E13</f>
        <v>-1.5917340967692812</v>
      </c>
    </row>
    <row r="14" spans="1:6" x14ac:dyDescent="0.25">
      <c r="A14" s="1">
        <v>39965</v>
      </c>
      <c r="B14">
        <v>89285.9</v>
      </c>
      <c r="C14">
        <f t="shared" si="0"/>
        <v>360036.9</v>
      </c>
      <c r="D14">
        <f t="shared" si="1"/>
        <v>1.2027842529990229</v>
      </c>
      <c r="E14">
        <f t="shared" ref="E14:E77" si="2">AVERAGE(D10:D13)</f>
        <v>3.8805538457225786</v>
      </c>
      <c r="F14">
        <f t="shared" ref="F14:F77" si="3">D14-E14</f>
        <v>-2.6777695927235556</v>
      </c>
    </row>
    <row r="15" spans="1:6" x14ac:dyDescent="0.25">
      <c r="A15" s="1">
        <v>40057</v>
      </c>
      <c r="B15">
        <v>89414.1</v>
      </c>
      <c r="C15">
        <f t="shared" si="0"/>
        <v>361258.69999999995</v>
      </c>
      <c r="D15">
        <f t="shared" si="1"/>
        <v>0.78019427442796996</v>
      </c>
      <c r="E15">
        <f t="shared" si="2"/>
        <v>2.9760897542507774</v>
      </c>
      <c r="F15">
        <f t="shared" si="3"/>
        <v>-2.1958954798228074</v>
      </c>
    </row>
    <row r="16" spans="1:6" x14ac:dyDescent="0.25">
      <c r="A16" s="1">
        <v>40148</v>
      </c>
      <c r="B16">
        <v>93767.9</v>
      </c>
      <c r="C16">
        <f t="shared" si="0"/>
        <v>363287.70000000007</v>
      </c>
      <c r="D16">
        <f t="shared" si="1"/>
        <v>0.63206723214219718</v>
      </c>
      <c r="E16">
        <f t="shared" si="2"/>
        <v>2.1279716844287142</v>
      </c>
      <c r="F16">
        <f t="shared" si="3"/>
        <v>-1.495904452286517</v>
      </c>
    </row>
    <row r="17" spans="1:6" x14ac:dyDescent="0.25">
      <c r="A17" s="1">
        <v>40238</v>
      </c>
      <c r="B17">
        <v>93561.1</v>
      </c>
      <c r="C17">
        <f t="shared" si="0"/>
        <v>366029</v>
      </c>
      <c r="D17">
        <f t="shared" si="1"/>
        <v>1.4222653001791929</v>
      </c>
      <c r="E17">
        <f t="shared" si="2"/>
        <v>1.3703858317434925</v>
      </c>
      <c r="F17">
        <f t="shared" si="3"/>
        <v>5.187946843570046E-2</v>
      </c>
    </row>
    <row r="18" spans="1:6" x14ac:dyDescent="0.25">
      <c r="A18" s="1">
        <v>40330</v>
      </c>
      <c r="B18">
        <v>92080.5</v>
      </c>
      <c r="C18">
        <f t="shared" si="0"/>
        <v>368823.6</v>
      </c>
      <c r="D18">
        <f t="shared" si="1"/>
        <v>2.4404998487654872</v>
      </c>
      <c r="E18">
        <f t="shared" si="2"/>
        <v>1.0093277649370958</v>
      </c>
      <c r="F18">
        <f t="shared" si="3"/>
        <v>1.4311720838283915</v>
      </c>
    </row>
    <row r="19" spans="1:6" x14ac:dyDescent="0.25">
      <c r="A19" s="1">
        <v>40422</v>
      </c>
      <c r="B19">
        <v>91027.199999999997</v>
      </c>
      <c r="C19">
        <f t="shared" si="0"/>
        <v>370436.7</v>
      </c>
      <c r="D19">
        <f t="shared" si="1"/>
        <v>2.5405616529097008</v>
      </c>
      <c r="E19">
        <f t="shared" si="2"/>
        <v>1.3187566638787118</v>
      </c>
      <c r="F19">
        <f t="shared" si="3"/>
        <v>1.221804989030989</v>
      </c>
    </row>
    <row r="20" spans="1:6" x14ac:dyDescent="0.25">
      <c r="A20" s="1">
        <v>40513</v>
      </c>
      <c r="B20">
        <v>96812</v>
      </c>
      <c r="C20">
        <f t="shared" si="0"/>
        <v>373480.8</v>
      </c>
      <c r="D20">
        <f t="shared" si="1"/>
        <v>2.8057927642471503</v>
      </c>
      <c r="E20">
        <f t="shared" si="2"/>
        <v>1.7588485084991445</v>
      </c>
      <c r="F20">
        <f t="shared" si="3"/>
        <v>1.0469442557480058</v>
      </c>
    </row>
    <row r="21" spans="1:6" x14ac:dyDescent="0.25">
      <c r="A21" s="1">
        <v>40603</v>
      </c>
      <c r="B21">
        <v>97288.7</v>
      </c>
      <c r="C21">
        <f t="shared" si="0"/>
        <v>377208.4</v>
      </c>
      <c r="D21">
        <f t="shared" si="1"/>
        <v>3.054238871783399</v>
      </c>
      <c r="E21">
        <f t="shared" si="2"/>
        <v>2.3022798915253828</v>
      </c>
      <c r="F21">
        <f t="shared" si="3"/>
        <v>0.75195898025801622</v>
      </c>
    </row>
    <row r="22" spans="1:6" x14ac:dyDescent="0.25">
      <c r="A22" s="1">
        <v>40695</v>
      </c>
      <c r="B22">
        <v>96227</v>
      </c>
      <c r="C22">
        <f t="shared" si="0"/>
        <v>381354.9</v>
      </c>
      <c r="D22">
        <f t="shared" si="1"/>
        <v>3.3976404980592401</v>
      </c>
      <c r="E22">
        <f t="shared" si="2"/>
        <v>2.7102732844264343</v>
      </c>
      <c r="F22">
        <f t="shared" si="3"/>
        <v>0.68736721363280573</v>
      </c>
    </row>
    <row r="23" spans="1:6" x14ac:dyDescent="0.25">
      <c r="A23" s="1">
        <v>40787</v>
      </c>
      <c r="B23">
        <v>96247.7</v>
      </c>
      <c r="C23">
        <f t="shared" si="0"/>
        <v>386575.4</v>
      </c>
      <c r="D23">
        <f t="shared" si="1"/>
        <v>4.3566687641910296</v>
      </c>
      <c r="E23">
        <f t="shared" si="2"/>
        <v>2.9495584467498723</v>
      </c>
      <c r="F23">
        <f t="shared" si="3"/>
        <v>1.4071103174411572</v>
      </c>
    </row>
    <row r="24" spans="1:6" x14ac:dyDescent="0.25">
      <c r="A24" s="1">
        <v>40878</v>
      </c>
      <c r="B24">
        <v>100318.9</v>
      </c>
      <c r="C24">
        <f t="shared" si="0"/>
        <v>390082.30000000005</v>
      </c>
      <c r="D24">
        <f t="shared" si="1"/>
        <v>4.4450745526945612</v>
      </c>
      <c r="E24">
        <f t="shared" si="2"/>
        <v>3.4035852245702047</v>
      </c>
      <c r="F24">
        <f t="shared" si="3"/>
        <v>1.0414893281243565</v>
      </c>
    </row>
    <row r="25" spans="1:6" x14ac:dyDescent="0.25">
      <c r="A25" s="1">
        <v>40969</v>
      </c>
      <c r="B25">
        <v>101001.4</v>
      </c>
      <c r="C25">
        <f t="shared" si="0"/>
        <v>393795</v>
      </c>
      <c r="D25">
        <f t="shared" si="1"/>
        <v>4.3971979415092566</v>
      </c>
      <c r="E25">
        <f t="shared" si="2"/>
        <v>3.813405671682057</v>
      </c>
      <c r="F25">
        <f t="shared" si="3"/>
        <v>0.58379226982719956</v>
      </c>
    </row>
    <row r="26" spans="1:6" x14ac:dyDescent="0.25">
      <c r="A26" s="1">
        <v>41061</v>
      </c>
      <c r="B26">
        <v>98806.399999999994</v>
      </c>
      <c r="C26">
        <f t="shared" si="0"/>
        <v>396374.4</v>
      </c>
      <c r="D26">
        <f t="shared" si="1"/>
        <v>3.9384573267578382</v>
      </c>
      <c r="E26">
        <f t="shared" si="2"/>
        <v>4.1491454391135214</v>
      </c>
      <c r="F26">
        <f t="shared" si="3"/>
        <v>-0.21068811235568319</v>
      </c>
    </row>
    <row r="27" spans="1:6" x14ac:dyDescent="0.25">
      <c r="A27" s="1">
        <v>41153</v>
      </c>
      <c r="B27">
        <v>98662.2</v>
      </c>
      <c r="C27">
        <f t="shared" si="0"/>
        <v>398788.89999999997</v>
      </c>
      <c r="D27">
        <f t="shared" si="1"/>
        <v>3.1594095226959551</v>
      </c>
      <c r="E27">
        <f t="shared" si="2"/>
        <v>4.2843496462881721</v>
      </c>
      <c r="F27">
        <f t="shared" si="3"/>
        <v>-1.124940123592217</v>
      </c>
    </row>
    <row r="28" spans="1:6" x14ac:dyDescent="0.25">
      <c r="A28" s="1">
        <v>41244</v>
      </c>
      <c r="B28">
        <v>103889.3</v>
      </c>
      <c r="C28">
        <f t="shared" si="0"/>
        <v>402359.3</v>
      </c>
      <c r="D28">
        <f t="shared" si="1"/>
        <v>3.1472845602068977</v>
      </c>
      <c r="E28">
        <f t="shared" si="2"/>
        <v>3.9850348359144032</v>
      </c>
      <c r="F28">
        <f t="shared" si="3"/>
        <v>-0.83775027570750549</v>
      </c>
    </row>
    <row r="29" spans="1:6" x14ac:dyDescent="0.25">
      <c r="A29" s="1">
        <v>41334</v>
      </c>
      <c r="B29">
        <v>103960.1024</v>
      </c>
      <c r="C29">
        <f t="shared" si="0"/>
        <v>405318.0024</v>
      </c>
      <c r="D29">
        <f t="shared" si="1"/>
        <v>2.9261423837275702</v>
      </c>
      <c r="E29">
        <f t="shared" si="2"/>
        <v>3.6605873377924869</v>
      </c>
      <c r="F29">
        <f t="shared" si="3"/>
        <v>-0.73444495406491672</v>
      </c>
    </row>
    <row r="30" spans="1:6" x14ac:dyDescent="0.25">
      <c r="A30" s="1">
        <v>41426</v>
      </c>
      <c r="B30">
        <v>103201.22930000001</v>
      </c>
      <c r="C30">
        <f t="shared" si="0"/>
        <v>409712.83169999998</v>
      </c>
      <c r="D30">
        <f t="shared" si="1"/>
        <v>3.3651092754728662</v>
      </c>
      <c r="E30">
        <f t="shared" si="2"/>
        <v>3.2928234483470655</v>
      </c>
      <c r="F30">
        <f t="shared" si="3"/>
        <v>7.2285827125800672E-2</v>
      </c>
    </row>
    <row r="31" spans="1:6" x14ac:dyDescent="0.25">
      <c r="A31" s="1">
        <v>41518</v>
      </c>
      <c r="B31">
        <v>102372.50810000001</v>
      </c>
      <c r="C31">
        <f t="shared" si="0"/>
        <v>413423.1398</v>
      </c>
      <c r="D31">
        <f t="shared" si="1"/>
        <v>3.6696707957518448</v>
      </c>
      <c r="E31">
        <f t="shared" si="2"/>
        <v>3.1494864355258225</v>
      </c>
      <c r="F31">
        <f t="shared" si="3"/>
        <v>0.52018436022602232</v>
      </c>
    </row>
    <row r="32" spans="1:6" x14ac:dyDescent="0.25">
      <c r="A32" s="1">
        <v>41609</v>
      </c>
      <c r="B32">
        <v>106849.3805</v>
      </c>
      <c r="C32">
        <f t="shared" si="0"/>
        <v>416383.22030000004</v>
      </c>
      <c r="D32">
        <f t="shared" si="1"/>
        <v>3.4854221836055688</v>
      </c>
      <c r="E32">
        <f t="shared" si="2"/>
        <v>3.2770517537897947</v>
      </c>
      <c r="F32">
        <f t="shared" si="3"/>
        <v>0.20837042981577403</v>
      </c>
    </row>
    <row r="33" spans="1:6" x14ac:dyDescent="0.25">
      <c r="A33" s="1">
        <v>41699</v>
      </c>
      <c r="B33">
        <v>108289.467</v>
      </c>
      <c r="C33">
        <f t="shared" si="0"/>
        <v>420712.58490000002</v>
      </c>
      <c r="D33">
        <f t="shared" si="1"/>
        <v>3.7981492084843138</v>
      </c>
      <c r="E33">
        <f t="shared" si="2"/>
        <v>3.3615861596394625</v>
      </c>
      <c r="F33">
        <f t="shared" si="3"/>
        <v>0.43656304884485131</v>
      </c>
    </row>
    <row r="34" spans="1:6" x14ac:dyDescent="0.25">
      <c r="A34" s="1">
        <v>41791</v>
      </c>
      <c r="B34">
        <v>107649.75199999999</v>
      </c>
      <c r="C34">
        <f t="shared" si="0"/>
        <v>425161.10759999999</v>
      </c>
      <c r="D34">
        <f t="shared" si="1"/>
        <v>3.7705130776356954</v>
      </c>
      <c r="E34">
        <f t="shared" si="2"/>
        <v>3.5795878658286489</v>
      </c>
      <c r="F34">
        <f t="shared" si="3"/>
        <v>0.19092521180704658</v>
      </c>
    </row>
    <row r="35" spans="1:6" x14ac:dyDescent="0.25">
      <c r="A35" s="1">
        <v>41883</v>
      </c>
      <c r="B35">
        <v>106782.8735</v>
      </c>
      <c r="C35">
        <f t="shared" si="0"/>
        <v>429571.473</v>
      </c>
      <c r="D35">
        <f t="shared" si="1"/>
        <v>3.9060061340088437</v>
      </c>
      <c r="E35">
        <f t="shared" si="2"/>
        <v>3.6809388163693555</v>
      </c>
      <c r="F35">
        <f t="shared" si="3"/>
        <v>0.22506731763948817</v>
      </c>
    </row>
    <row r="36" spans="1:6" x14ac:dyDescent="0.25">
      <c r="A36" s="1">
        <v>41974</v>
      </c>
      <c r="B36">
        <v>112165.1058</v>
      </c>
      <c r="C36">
        <f t="shared" si="0"/>
        <v>434887.19829999999</v>
      </c>
      <c r="D36">
        <f t="shared" si="1"/>
        <v>4.4439778304870226</v>
      </c>
      <c r="E36">
        <f t="shared" si="2"/>
        <v>3.7400226509336054</v>
      </c>
      <c r="F36">
        <f t="shared" si="3"/>
        <v>0.70395517955341713</v>
      </c>
    </row>
    <row r="37" spans="1:6" x14ac:dyDescent="0.25">
      <c r="A37" s="1">
        <v>42064</v>
      </c>
      <c r="B37">
        <v>113343.54459999999</v>
      </c>
      <c r="C37">
        <f t="shared" si="0"/>
        <v>439941.27590000001</v>
      </c>
      <c r="D37">
        <f t="shared" si="1"/>
        <v>4.5705053022291997</v>
      </c>
      <c r="E37">
        <f t="shared" si="2"/>
        <v>3.9796615626539689</v>
      </c>
      <c r="F37">
        <f t="shared" si="3"/>
        <v>0.59084373957523084</v>
      </c>
    </row>
    <row r="38" spans="1:6" x14ac:dyDescent="0.25">
      <c r="A38" s="1">
        <v>42156</v>
      </c>
      <c r="B38">
        <v>111016.0223</v>
      </c>
      <c r="C38">
        <f t="shared" si="0"/>
        <v>443307.54620000004</v>
      </c>
      <c r="D38">
        <f t="shared" si="1"/>
        <v>4.2681323092874646</v>
      </c>
      <c r="E38">
        <f t="shared" si="2"/>
        <v>4.1727505860901903</v>
      </c>
      <c r="F38">
        <f t="shared" si="3"/>
        <v>9.5381723197274226E-2</v>
      </c>
    </row>
    <row r="39" spans="1:6" x14ac:dyDescent="0.25">
      <c r="A39" s="1">
        <v>42248</v>
      </c>
      <c r="B39">
        <v>112035.39479999999</v>
      </c>
      <c r="C39">
        <f t="shared" si="0"/>
        <v>448560.0675</v>
      </c>
      <c r="D39">
        <f t="shared" si="1"/>
        <v>4.4203574244326083</v>
      </c>
      <c r="E39">
        <f t="shared" si="2"/>
        <v>4.2971553940031324</v>
      </c>
      <c r="F39">
        <f t="shared" si="3"/>
        <v>0.12320203042947586</v>
      </c>
    </row>
    <row r="40" spans="1:6" x14ac:dyDescent="0.25">
      <c r="A40" s="1">
        <v>42339</v>
      </c>
      <c r="B40">
        <v>116288.5631</v>
      </c>
      <c r="C40">
        <f t="shared" si="0"/>
        <v>452683.52480000001</v>
      </c>
      <c r="D40">
        <f t="shared" si="1"/>
        <v>4.0921706984171857</v>
      </c>
      <c r="E40">
        <f t="shared" si="2"/>
        <v>4.4257432166090735</v>
      </c>
      <c r="F40">
        <f t="shared" si="3"/>
        <v>-0.33357251819188782</v>
      </c>
    </row>
    <row r="41" spans="1:6" x14ac:dyDescent="0.25">
      <c r="A41" s="1">
        <v>42430</v>
      </c>
      <c r="B41">
        <v>115243.1134</v>
      </c>
      <c r="C41">
        <f t="shared" si="0"/>
        <v>454583.09360000002</v>
      </c>
      <c r="D41">
        <f t="shared" si="1"/>
        <v>3.3281300260010527</v>
      </c>
      <c r="E41">
        <f t="shared" si="2"/>
        <v>4.3377914335916143</v>
      </c>
      <c r="F41">
        <f t="shared" si="3"/>
        <v>-1.0096614075905617</v>
      </c>
    </row>
    <row r="42" spans="1:6" x14ac:dyDescent="0.25">
      <c r="A42" s="1">
        <v>42522</v>
      </c>
      <c r="B42">
        <v>115126.2594</v>
      </c>
      <c r="C42">
        <f t="shared" si="0"/>
        <v>458693.33069999993</v>
      </c>
      <c r="D42">
        <f t="shared" si="1"/>
        <v>3.4706795839334781</v>
      </c>
      <c r="E42">
        <f t="shared" si="2"/>
        <v>4.0271976145345771</v>
      </c>
      <c r="F42">
        <f t="shared" si="3"/>
        <v>-0.55651803060109906</v>
      </c>
    </row>
    <row r="43" spans="1:6" x14ac:dyDescent="0.25">
      <c r="A43" s="1">
        <v>42614</v>
      </c>
      <c r="B43">
        <v>114354.243</v>
      </c>
      <c r="C43">
        <f t="shared" si="0"/>
        <v>461012.1789</v>
      </c>
      <c r="D43">
        <f t="shared" si="1"/>
        <v>2.7760187101362854</v>
      </c>
      <c r="E43">
        <f t="shared" si="2"/>
        <v>3.827834433196081</v>
      </c>
      <c r="F43">
        <f t="shared" si="3"/>
        <v>-1.0518157230597955</v>
      </c>
    </row>
    <row r="44" spans="1:6" x14ac:dyDescent="0.25">
      <c r="A44" s="1">
        <v>42705</v>
      </c>
      <c r="B44">
        <v>120081.8809</v>
      </c>
      <c r="C44">
        <f t="shared" si="0"/>
        <v>464805.49670000002</v>
      </c>
      <c r="D44">
        <f t="shared" si="1"/>
        <v>2.67780275532572</v>
      </c>
      <c r="E44">
        <f t="shared" si="2"/>
        <v>3.4167497546220007</v>
      </c>
      <c r="F44">
        <f t="shared" si="3"/>
        <v>-0.73894699929628072</v>
      </c>
    </row>
    <row r="45" spans="1:6" x14ac:dyDescent="0.25">
      <c r="A45" s="1">
        <v>42795</v>
      </c>
      <c r="B45">
        <v>120681.26489999999</v>
      </c>
      <c r="C45">
        <f t="shared" si="0"/>
        <v>470243.6482</v>
      </c>
      <c r="D45">
        <f t="shared" si="1"/>
        <v>3.4450367425630901</v>
      </c>
      <c r="E45">
        <f t="shared" si="2"/>
        <v>3.063157768849134</v>
      </c>
      <c r="F45">
        <f t="shared" si="3"/>
        <v>0.38187897371395607</v>
      </c>
    </row>
    <row r="46" spans="1:6" x14ac:dyDescent="0.25">
      <c r="A46" s="1">
        <v>42887</v>
      </c>
      <c r="B46">
        <v>117992.10980000001</v>
      </c>
      <c r="C46">
        <f t="shared" si="0"/>
        <v>473109.49860000005</v>
      </c>
      <c r="D46">
        <f t="shared" si="1"/>
        <v>3.1428771545467971</v>
      </c>
      <c r="E46">
        <f t="shared" si="2"/>
        <v>3.0923844479896436</v>
      </c>
      <c r="F46">
        <f t="shared" si="3"/>
        <v>5.0492706557153433E-2</v>
      </c>
    </row>
    <row r="47" spans="1:6" x14ac:dyDescent="0.25">
      <c r="A47" s="1">
        <v>42979</v>
      </c>
      <c r="B47">
        <v>117906.12699999999</v>
      </c>
      <c r="C47">
        <f t="shared" si="0"/>
        <v>476661.38260000001</v>
      </c>
      <c r="D47">
        <f t="shared" si="1"/>
        <v>3.3945315148375954</v>
      </c>
      <c r="E47">
        <f t="shared" si="2"/>
        <v>3.0104338406429734</v>
      </c>
      <c r="F47">
        <f t="shared" si="3"/>
        <v>0.38409767419462204</v>
      </c>
    </row>
    <row r="48" spans="1:6" x14ac:dyDescent="0.25">
      <c r="A48" s="1">
        <v>43070</v>
      </c>
      <c r="B48">
        <v>122541.31299999999</v>
      </c>
      <c r="C48">
        <f t="shared" si="0"/>
        <v>479120.81469999999</v>
      </c>
      <c r="D48">
        <f t="shared" si="1"/>
        <v>3.0798512714748538</v>
      </c>
      <c r="E48">
        <f t="shared" si="2"/>
        <v>3.1650620418183006</v>
      </c>
      <c r="F48">
        <f t="shared" si="3"/>
        <v>-8.5210770343446818E-2</v>
      </c>
    </row>
    <row r="49" spans="1:6" x14ac:dyDescent="0.25">
      <c r="A49" s="1">
        <v>43160</v>
      </c>
      <c r="B49">
        <v>123947.76579999999</v>
      </c>
      <c r="C49">
        <f t="shared" si="0"/>
        <v>482387.31560000003</v>
      </c>
      <c r="D49">
        <f t="shared" si="1"/>
        <v>2.582420293497556</v>
      </c>
      <c r="E49">
        <f t="shared" si="2"/>
        <v>3.2655741708555839</v>
      </c>
      <c r="F49">
        <f t="shared" si="3"/>
        <v>-0.68315387735802791</v>
      </c>
    </row>
    <row r="50" spans="1:6" x14ac:dyDescent="0.25">
      <c r="A50" s="1">
        <v>43252</v>
      </c>
      <c r="B50">
        <v>123023.06110000001</v>
      </c>
      <c r="C50">
        <f t="shared" si="0"/>
        <v>487418.26689999999</v>
      </c>
      <c r="D50">
        <f t="shared" si="1"/>
        <v>3.0244094321381532</v>
      </c>
      <c r="E50">
        <f t="shared" si="2"/>
        <v>3.0499200585892003</v>
      </c>
      <c r="F50">
        <f t="shared" si="3"/>
        <v>-2.551062645104718E-2</v>
      </c>
    </row>
    <row r="51" spans="1:6" x14ac:dyDescent="0.25">
      <c r="A51" s="1">
        <v>43344</v>
      </c>
      <c r="B51">
        <v>122027.6174</v>
      </c>
      <c r="C51">
        <f t="shared" si="0"/>
        <v>491539.7573</v>
      </c>
      <c r="D51">
        <f t="shared" si="1"/>
        <v>3.1213719514772365</v>
      </c>
      <c r="E51">
        <f t="shared" si="2"/>
        <v>3.0203031279870398</v>
      </c>
      <c r="F51">
        <f t="shared" si="3"/>
        <v>0.10106882349019664</v>
      </c>
    </row>
    <row r="52" spans="1:6" x14ac:dyDescent="0.25">
      <c r="A52" s="1">
        <v>43435</v>
      </c>
      <c r="B52">
        <v>126445.4103</v>
      </c>
      <c r="C52">
        <f t="shared" si="0"/>
        <v>495443.85459999996</v>
      </c>
      <c r="D52">
        <f t="shared" si="1"/>
        <v>3.4068734647273891</v>
      </c>
      <c r="E52">
        <f t="shared" si="2"/>
        <v>2.9520132371469501</v>
      </c>
      <c r="F52">
        <f t="shared" si="3"/>
        <v>0.45486022758043898</v>
      </c>
    </row>
    <row r="53" spans="1:6" x14ac:dyDescent="0.25">
      <c r="A53" s="1">
        <v>43525</v>
      </c>
      <c r="B53">
        <v>128569.4599</v>
      </c>
      <c r="C53">
        <f t="shared" si="0"/>
        <v>500065.54870000004</v>
      </c>
      <c r="D53">
        <f t="shared" si="1"/>
        <v>3.6647383810272105</v>
      </c>
      <c r="E53">
        <f t="shared" si="2"/>
        <v>3.0337687854600839</v>
      </c>
      <c r="F53">
        <f t="shared" si="3"/>
        <v>0.63096959556712662</v>
      </c>
    </row>
    <row r="54" spans="1:6" x14ac:dyDescent="0.25">
      <c r="A54" s="1">
        <v>43617</v>
      </c>
      <c r="B54">
        <v>127741.5585</v>
      </c>
      <c r="C54">
        <f t="shared" si="0"/>
        <v>504784.04609999998</v>
      </c>
      <c r="D54">
        <f t="shared" si="1"/>
        <v>3.5628084500088697</v>
      </c>
      <c r="E54">
        <f t="shared" si="2"/>
        <v>3.3043483073424973</v>
      </c>
      <c r="F54">
        <f t="shared" si="3"/>
        <v>0.25846014266637241</v>
      </c>
    </row>
    <row r="55" spans="1:6" x14ac:dyDescent="0.25">
      <c r="A55" s="1">
        <v>43709</v>
      </c>
      <c r="B55">
        <v>126951.0665</v>
      </c>
      <c r="C55">
        <f t="shared" si="0"/>
        <v>509707.4952</v>
      </c>
      <c r="D55">
        <f t="shared" si="1"/>
        <v>3.6960871689798447</v>
      </c>
      <c r="E55">
        <f t="shared" si="2"/>
        <v>3.4389480618101764</v>
      </c>
      <c r="F55">
        <f t="shared" si="3"/>
        <v>0.25713910716966826</v>
      </c>
    </row>
    <row r="56" spans="1:6" x14ac:dyDescent="0.25">
      <c r="A56" s="1">
        <v>43800</v>
      </c>
      <c r="B56">
        <v>132088.19820000001</v>
      </c>
      <c r="C56">
        <f t="shared" si="0"/>
        <v>515350.2831</v>
      </c>
      <c r="D56">
        <f t="shared" si="1"/>
        <v>4.0178979545667515</v>
      </c>
      <c r="E56">
        <f t="shared" si="2"/>
        <v>3.5826268661858283</v>
      </c>
      <c r="F56">
        <f t="shared" si="3"/>
        <v>0.43527108838092321</v>
      </c>
    </row>
    <row r="57" spans="1:6" x14ac:dyDescent="0.25">
      <c r="A57" s="1">
        <v>43891</v>
      </c>
      <c r="B57">
        <v>129622.7911</v>
      </c>
      <c r="C57">
        <f t="shared" si="0"/>
        <v>516403.61430000002</v>
      </c>
      <c r="D57">
        <f t="shared" si="1"/>
        <v>3.2671848005673132</v>
      </c>
      <c r="E57">
        <f t="shared" si="2"/>
        <v>3.7353829886456689</v>
      </c>
      <c r="F57">
        <f t="shared" si="3"/>
        <v>-0.46819818807835567</v>
      </c>
    </row>
    <row r="58" spans="1:6" x14ac:dyDescent="0.25">
      <c r="A58" s="1">
        <v>43983</v>
      </c>
      <c r="B58">
        <v>115915.48</v>
      </c>
      <c r="C58">
        <f t="shared" si="0"/>
        <v>504577.53579999995</v>
      </c>
      <c r="D58">
        <f t="shared" si="1"/>
        <v>-4.0910623383516587E-2</v>
      </c>
      <c r="E58">
        <f t="shared" si="2"/>
        <v>3.635994593530695</v>
      </c>
      <c r="F58">
        <f t="shared" si="3"/>
        <v>-3.6769052169142116</v>
      </c>
    </row>
    <row r="59" spans="1:6" x14ac:dyDescent="0.25">
      <c r="A59" s="1">
        <v>44075</v>
      </c>
      <c r="B59">
        <v>125160.6939</v>
      </c>
      <c r="C59">
        <f t="shared" si="0"/>
        <v>502787.16320000001</v>
      </c>
      <c r="D59">
        <f t="shared" si="1"/>
        <v>-1.3577065405492195</v>
      </c>
      <c r="E59">
        <f t="shared" si="2"/>
        <v>2.7350648251825982</v>
      </c>
      <c r="F59">
        <f t="shared" si="3"/>
        <v>-4.0927713657318172</v>
      </c>
    </row>
    <row r="60" spans="1:6" x14ac:dyDescent="0.25">
      <c r="A60" s="1">
        <v>44166</v>
      </c>
      <c r="B60">
        <v>135449.47159999999</v>
      </c>
      <c r="C60">
        <f t="shared" si="0"/>
        <v>506148.43660000002</v>
      </c>
      <c r="D60">
        <f t="shared" si="1"/>
        <v>-1.7855518473081755</v>
      </c>
      <c r="E60">
        <f t="shared" si="2"/>
        <v>1.4716163978003323</v>
      </c>
      <c r="F60">
        <f t="shared" si="3"/>
        <v>-3.2571682451085078</v>
      </c>
    </row>
    <row r="61" spans="1:6" x14ac:dyDescent="0.25">
      <c r="A61" s="1">
        <v>44256</v>
      </c>
      <c r="B61">
        <v>135446.13029999999</v>
      </c>
      <c r="C61">
        <f t="shared" si="0"/>
        <v>511971.77579999994</v>
      </c>
      <c r="D61">
        <f t="shared" si="1"/>
        <v>-0.85821213819495812</v>
      </c>
      <c r="E61">
        <f t="shared" si="2"/>
        <v>2.0753947331600409E-2</v>
      </c>
      <c r="F61">
        <f t="shared" si="3"/>
        <v>-0.87896608552655853</v>
      </c>
    </row>
    <row r="62" spans="1:6" x14ac:dyDescent="0.25">
      <c r="A62" s="1">
        <v>44348</v>
      </c>
      <c r="B62">
        <v>133932.0588</v>
      </c>
      <c r="C62">
        <f t="shared" si="0"/>
        <v>529988.35459999996</v>
      </c>
      <c r="D62">
        <f t="shared" si="1"/>
        <v>5.0360582858116176</v>
      </c>
      <c r="E62">
        <f t="shared" si="2"/>
        <v>-1.0105952873589674</v>
      </c>
      <c r="F62">
        <f t="shared" si="3"/>
        <v>6.0466535731705848</v>
      </c>
    </row>
    <row r="63" spans="1:6" x14ac:dyDescent="0.25">
      <c r="A63" s="1">
        <v>44440</v>
      </c>
      <c r="B63">
        <v>135354.03210000001</v>
      </c>
      <c r="C63">
        <f t="shared" si="0"/>
        <v>540181.69280000008</v>
      </c>
      <c r="D63">
        <f t="shared" si="1"/>
        <v>7.4374471619366167</v>
      </c>
      <c r="E63">
        <f t="shared" si="2"/>
        <v>0.25864693993981613</v>
      </c>
      <c r="F63">
        <f t="shared" si="3"/>
        <v>7.1788002219968003</v>
      </c>
    </row>
    <row r="64" spans="1:6" x14ac:dyDescent="0.25">
      <c r="A64" s="1">
        <v>44531</v>
      </c>
      <c r="B64">
        <v>142119.1741</v>
      </c>
      <c r="C64">
        <f t="shared" si="0"/>
        <v>546851.39529999997</v>
      </c>
      <c r="D64">
        <f t="shared" si="1"/>
        <v>8.0417039265038284</v>
      </c>
      <c r="E64">
        <f t="shared" si="2"/>
        <v>2.4574353655612753</v>
      </c>
      <c r="F64">
        <f t="shared" si="3"/>
        <v>5.5842685609425526</v>
      </c>
    </row>
    <row r="65" spans="1:6" x14ac:dyDescent="0.25">
      <c r="A65" s="1">
        <v>44621</v>
      </c>
      <c r="B65">
        <v>141576.7346</v>
      </c>
      <c r="C65">
        <f t="shared" si="0"/>
        <v>552981.99959999998</v>
      </c>
      <c r="D65">
        <f t="shared" si="1"/>
        <v>8.0102509041475969</v>
      </c>
      <c r="E65">
        <f t="shared" si="2"/>
        <v>4.9142493090142763</v>
      </c>
      <c r="F65">
        <f t="shared" si="3"/>
        <v>3.0960015951333206</v>
      </c>
    </row>
    <row r="66" spans="1:6" x14ac:dyDescent="0.25">
      <c r="A66" s="1">
        <v>44713</v>
      </c>
      <c r="B66">
        <v>140282.2899</v>
      </c>
      <c r="C66">
        <f t="shared" si="0"/>
        <v>559332.23069999996</v>
      </c>
      <c r="D66">
        <f t="shared" si="1"/>
        <v>5.5367020511510656</v>
      </c>
      <c r="E66">
        <f t="shared" si="2"/>
        <v>7.1313650695999149</v>
      </c>
      <c r="F66">
        <f t="shared" si="3"/>
        <v>-1.5946630184488493</v>
      </c>
    </row>
    <row r="67" spans="1:6" x14ac:dyDescent="0.25">
      <c r="A67" s="1">
        <v>44805</v>
      </c>
      <c r="B67">
        <v>140728.09880000001</v>
      </c>
      <c r="C67">
        <f t="shared" si="0"/>
        <v>564706.29740000004</v>
      </c>
      <c r="D67">
        <f t="shared" si="1"/>
        <v>4.5400658568931052</v>
      </c>
      <c r="E67">
        <f t="shared" si="2"/>
        <v>7.2565260109347776</v>
      </c>
      <c r="F67">
        <f t="shared" si="3"/>
        <v>-2.7164601540416724</v>
      </c>
    </row>
    <row r="68" spans="1:6" x14ac:dyDescent="0.25">
      <c r="A68" s="1">
        <v>44896</v>
      </c>
      <c r="B68">
        <v>146985.53450000001</v>
      </c>
      <c r="C68">
        <f t="shared" si="0"/>
        <v>569572.65779999993</v>
      </c>
      <c r="D68">
        <f t="shared" si="1"/>
        <v>4.1549244813639419</v>
      </c>
      <c r="E68">
        <f t="shared" si="2"/>
        <v>6.5321806846738992</v>
      </c>
      <c r="F68">
        <f t="shared" si="3"/>
        <v>-2.3772562033099573</v>
      </c>
    </row>
    <row r="69" spans="1:6" x14ac:dyDescent="0.25">
      <c r="A69" s="1">
        <v>44986</v>
      </c>
      <c r="B69">
        <v>147227.42720000001</v>
      </c>
      <c r="C69">
        <f t="shared" si="0"/>
        <v>575223.3504</v>
      </c>
      <c r="D69">
        <f t="shared" si="1"/>
        <v>4.0220750071590539</v>
      </c>
      <c r="E69">
        <f t="shared" si="2"/>
        <v>5.5604858233889276</v>
      </c>
      <c r="F69">
        <f t="shared" si="3"/>
        <v>-1.5384108162298737</v>
      </c>
    </row>
    <row r="70" spans="1:6" x14ac:dyDescent="0.25">
      <c r="A70" s="1">
        <v>45078</v>
      </c>
      <c r="B70">
        <v>146133.63920000001</v>
      </c>
      <c r="C70">
        <f t="shared" ref="C70:C79" si="4">SUM(B67:B70)</f>
        <v>581074.6997</v>
      </c>
      <c r="D70">
        <f t="shared" si="1"/>
        <v>3.8872190456090028</v>
      </c>
      <c r="E70">
        <f t="shared" si="2"/>
        <v>4.5634418491417916</v>
      </c>
      <c r="F70">
        <f t="shared" si="3"/>
        <v>-0.67622280353278885</v>
      </c>
    </row>
    <row r="71" spans="1:6" x14ac:dyDescent="0.25">
      <c r="A71" s="1">
        <v>45170</v>
      </c>
      <c r="B71">
        <v>146534.26500000001</v>
      </c>
      <c r="C71">
        <f t="shared" si="4"/>
        <v>586880.86589999998</v>
      </c>
      <c r="D71">
        <f t="shared" si="1"/>
        <v>3.9267436191335658</v>
      </c>
      <c r="E71">
        <f t="shared" si="2"/>
        <v>4.1510710977562759</v>
      </c>
      <c r="F71">
        <f t="shared" si="3"/>
        <v>-0.22432747862271007</v>
      </c>
    </row>
    <row r="72" spans="1:6" x14ac:dyDescent="0.25">
      <c r="A72" s="1">
        <v>45261</v>
      </c>
      <c r="B72">
        <v>149750.77830000001</v>
      </c>
      <c r="C72">
        <f t="shared" si="4"/>
        <v>589646.10970000003</v>
      </c>
      <c r="D72">
        <f t="shared" si="1"/>
        <v>3.524300477753739</v>
      </c>
      <c r="E72">
        <f t="shared" si="2"/>
        <v>3.9977405383163909</v>
      </c>
      <c r="F72">
        <f t="shared" si="3"/>
        <v>-0.47344006056265187</v>
      </c>
    </row>
    <row r="73" spans="1:6" x14ac:dyDescent="0.25">
      <c r="A73" s="1">
        <v>45352</v>
      </c>
      <c r="B73">
        <v>151506.9411</v>
      </c>
      <c r="C73">
        <f t="shared" si="4"/>
        <v>593925.62360000005</v>
      </c>
      <c r="D73">
        <f t="shared" si="1"/>
        <v>3.2513063294448807</v>
      </c>
      <c r="E73">
        <f t="shared" si="2"/>
        <v>3.8400845374138401</v>
      </c>
      <c r="F73">
        <f t="shared" si="3"/>
        <v>-0.58877820796895941</v>
      </c>
    </row>
    <row r="74" spans="1:6" x14ac:dyDescent="0.25">
      <c r="A74" s="1">
        <v>45444</v>
      </c>
      <c r="B74">
        <v>151670.96299999999</v>
      </c>
      <c r="C74">
        <f t="shared" si="4"/>
        <v>599462.94739999995</v>
      </c>
      <c r="D74">
        <f t="shared" ref="D74:D79" si="5">((C74/C70)-1)*100</f>
        <v>3.1645238915914753</v>
      </c>
      <c r="E74">
        <f t="shared" si="2"/>
        <v>3.6473923679852973</v>
      </c>
      <c r="F74">
        <f t="shared" si="3"/>
        <v>-0.48286847639382202</v>
      </c>
    </row>
    <row r="75" spans="1:6" x14ac:dyDescent="0.25">
      <c r="A75" s="1">
        <v>45536</v>
      </c>
      <c r="B75">
        <v>151871.83350000001</v>
      </c>
      <c r="C75">
        <f t="shared" si="4"/>
        <v>604800.5159</v>
      </c>
      <c r="D75">
        <f t="shared" si="5"/>
        <v>3.0533709720659719</v>
      </c>
      <c r="E75">
        <f t="shared" si="2"/>
        <v>3.466718579480915</v>
      </c>
      <c r="F75">
        <f t="shared" si="3"/>
        <v>-0.41334760741494314</v>
      </c>
    </row>
    <row r="76" spans="1:6" x14ac:dyDescent="0.25">
      <c r="A76" s="1">
        <v>45627</v>
      </c>
      <c r="B76">
        <v>156505.18280000001</v>
      </c>
      <c r="C76">
        <f t="shared" si="4"/>
        <v>611554.92039999994</v>
      </c>
      <c r="D76">
        <f t="shared" si="5"/>
        <v>3.7155864067595745</v>
      </c>
      <c r="E76">
        <f t="shared" si="2"/>
        <v>3.2483754177140169</v>
      </c>
      <c r="F76">
        <f t="shared" si="3"/>
        <v>0.46721098904555758</v>
      </c>
    </row>
    <row r="77" spans="1:6" x14ac:dyDescent="0.25">
      <c r="A77" s="1">
        <v>45717</v>
      </c>
      <c r="B77">
        <v>157241.98389999999</v>
      </c>
      <c r="C77">
        <f t="shared" si="4"/>
        <v>617289.9632</v>
      </c>
      <c r="D77">
        <f t="shared" si="5"/>
        <v>3.9338830775443201</v>
      </c>
      <c r="E77">
        <f t="shared" si="2"/>
        <v>3.2961968999654756</v>
      </c>
      <c r="F77">
        <f t="shared" si="3"/>
        <v>0.63768617757884449</v>
      </c>
    </row>
    <row r="78" spans="1:6" x14ac:dyDescent="0.25">
      <c r="A78" s="1">
        <v>45809</v>
      </c>
      <c r="B78">
        <v>157719.58799999999</v>
      </c>
      <c r="C78">
        <f t="shared" si="4"/>
        <v>623338.5882</v>
      </c>
      <c r="D78">
        <f t="shared" si="5"/>
        <v>3.9828384562471841</v>
      </c>
      <c r="E78">
        <f t="shared" ref="E78:E79" si="6">AVERAGE(D74:D77)</f>
        <v>3.4668410869903354</v>
      </c>
      <c r="F78">
        <f t="shared" ref="F78:F79" si="7">D78-E78</f>
        <v>0.51599736925684869</v>
      </c>
    </row>
    <row r="79" spans="1:6" x14ac:dyDescent="0.25">
      <c r="A79" s="1">
        <v>45901</v>
      </c>
      <c r="B79">
        <v>158743.29810000001</v>
      </c>
      <c r="C79">
        <f t="shared" si="4"/>
        <v>630210.05279999995</v>
      </c>
      <c r="D79">
        <f t="shared" si="5"/>
        <v>4.2013087343664379</v>
      </c>
      <c r="E79">
        <f t="shared" si="6"/>
        <v>3.6714197281542624</v>
      </c>
      <c r="F79">
        <f t="shared" si="7"/>
        <v>0.5298890062121755</v>
      </c>
    </row>
    <row r="80" spans="1:6" x14ac:dyDescent="0.25">
      <c r="A80" s="1">
        <v>45992</v>
      </c>
      <c r="B80">
        <v>164024.80069999999</v>
      </c>
      <c r="C80">
        <f t="shared" ref="C80:C82" si="8">SUM(B77:B80)</f>
        <v>637729.67070000002</v>
      </c>
      <c r="D80">
        <f t="shared" ref="D80:D82" si="9">((C80/C76)-1)*100</f>
        <v>4.2800326555920698</v>
      </c>
      <c r="E80">
        <f t="shared" ref="E80:E82" si="10">AVERAGE(D76:D79)</f>
        <v>3.9584041687293796</v>
      </c>
      <c r="F80">
        <f t="shared" ref="F80:F82" si="11">D80-E80</f>
        <v>0.32162848686269019</v>
      </c>
    </row>
    <row r="81" spans="1:6" x14ac:dyDescent="0.25">
      <c r="A81" s="1">
        <v>46082</v>
      </c>
      <c r="B81">
        <v>164377.50380000001</v>
      </c>
      <c r="C81">
        <f t="shared" si="8"/>
        <v>644865.19060000009</v>
      </c>
      <c r="D81">
        <f t="shared" si="9"/>
        <v>4.4671433271086247</v>
      </c>
      <c r="E81">
        <f t="shared" si="10"/>
        <v>4.0995157309375028</v>
      </c>
      <c r="F81">
        <f t="shared" si="11"/>
        <v>0.36762759617112195</v>
      </c>
    </row>
    <row r="82" spans="1:6" x14ac:dyDescent="0.25">
      <c r="A82" s="1">
        <v>45078</v>
      </c>
      <c r="B82">
        <v>164452.51240000001</v>
      </c>
      <c r="C82">
        <f t="shared" si="8"/>
        <v>651598.11499999999</v>
      </c>
      <c r="D82">
        <f t="shared" si="9"/>
        <v>4.5335757058783122</v>
      </c>
      <c r="E82">
        <f t="shared" si="10"/>
        <v>4.2328307933285796</v>
      </c>
      <c r="F82">
        <f t="shared" si="11"/>
        <v>0.30074491254973257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tabSelected="1" topLeftCell="A50" workbookViewId="0">
      <selection activeCell="F9" sqref="F9:F82"/>
    </sheetView>
  </sheetViews>
  <sheetFormatPr baseColWidth="10" defaultRowHeight="15" x14ac:dyDescent="0.25"/>
  <sheetData>
    <row r="1" spans="1:8" x14ac:dyDescent="0.25">
      <c r="A1" t="s">
        <v>0</v>
      </c>
      <c r="B1" t="s">
        <v>21</v>
      </c>
      <c r="C1" t="s">
        <v>5</v>
      </c>
      <c r="D1" t="str">
        <f>CONCATENATE(B1,"_SM")</f>
        <v>IPriv_SM</v>
      </c>
      <c r="E1" t="s">
        <v>26</v>
      </c>
      <c r="F1" t="s">
        <v>22</v>
      </c>
      <c r="G1" t="s">
        <v>23</v>
      </c>
      <c r="H1" t="s">
        <v>24</v>
      </c>
    </row>
    <row r="2" spans="1:8" x14ac:dyDescent="0.25">
      <c r="A2" s="1">
        <v>38869</v>
      </c>
      <c r="B2">
        <v>9875</v>
      </c>
      <c r="C2">
        <v>56810.3</v>
      </c>
    </row>
    <row r="3" spans="1:8" x14ac:dyDescent="0.25">
      <c r="A3" s="1">
        <v>38961</v>
      </c>
      <c r="B3">
        <v>9190.6</v>
      </c>
      <c r="C3">
        <v>58936.3</v>
      </c>
    </row>
    <row r="4" spans="1:8" x14ac:dyDescent="0.25">
      <c r="A4" s="1">
        <v>39052</v>
      </c>
      <c r="B4">
        <v>7733.27</v>
      </c>
      <c r="C4">
        <v>62174.3</v>
      </c>
    </row>
    <row r="5" spans="1:8" x14ac:dyDescent="0.25">
      <c r="A5" s="1">
        <v>39142</v>
      </c>
      <c r="B5">
        <v>10917.1</v>
      </c>
      <c r="C5">
        <v>67591.7</v>
      </c>
      <c r="D5">
        <f>SUM(B2:B5)</f>
        <v>37715.97</v>
      </c>
      <c r="E5">
        <f>SUM(C2:C5)</f>
        <v>245512.60000000003</v>
      </c>
      <c r="F5">
        <f>(D5/E5)*100</f>
        <v>15.362132126823633</v>
      </c>
    </row>
    <row r="6" spans="1:8" x14ac:dyDescent="0.25">
      <c r="A6" s="1">
        <v>39234</v>
      </c>
      <c r="B6">
        <v>10533.9</v>
      </c>
      <c r="C6">
        <v>64074.5</v>
      </c>
      <c r="D6">
        <f t="shared" ref="D6:D69" si="0">SUM(B3:B6)</f>
        <v>38374.870000000003</v>
      </c>
      <c r="E6">
        <f t="shared" ref="E6:E69" si="1">SUM(C3:C6)</f>
        <v>252776.8</v>
      </c>
      <c r="F6">
        <f t="shared" ref="F6:F69" si="2">(D6/E6)*100</f>
        <v>15.181325976118062</v>
      </c>
    </row>
    <row r="7" spans="1:8" x14ac:dyDescent="0.25">
      <c r="A7" s="1">
        <v>39326</v>
      </c>
      <c r="B7">
        <v>10396.9</v>
      </c>
      <c r="C7">
        <v>66701.7</v>
      </c>
      <c r="D7">
        <f t="shared" si="0"/>
        <v>39581.170000000006</v>
      </c>
      <c r="E7">
        <f t="shared" si="1"/>
        <v>260542.2</v>
      </c>
      <c r="F7">
        <f t="shared" si="2"/>
        <v>15.191846080980357</v>
      </c>
    </row>
    <row r="8" spans="1:8" x14ac:dyDescent="0.25">
      <c r="A8" s="1">
        <v>39417</v>
      </c>
      <c r="B8">
        <v>9223.2999999999993</v>
      </c>
      <c r="C8">
        <v>70455.899999999994</v>
      </c>
      <c r="D8">
        <f t="shared" si="0"/>
        <v>41071.199999999997</v>
      </c>
      <c r="E8">
        <f t="shared" si="1"/>
        <v>268823.80000000005</v>
      </c>
      <c r="F8">
        <f t="shared" si="2"/>
        <v>15.278111536255343</v>
      </c>
    </row>
    <row r="9" spans="1:8" x14ac:dyDescent="0.25">
      <c r="A9" s="1">
        <v>39508</v>
      </c>
      <c r="B9">
        <v>11795.8</v>
      </c>
      <c r="C9">
        <v>75225.8</v>
      </c>
      <c r="D9">
        <f t="shared" si="0"/>
        <v>41949.899999999994</v>
      </c>
      <c r="E9">
        <f t="shared" si="1"/>
        <v>276457.89999999997</v>
      </c>
      <c r="F9">
        <f t="shared" si="2"/>
        <v>15.174064477810184</v>
      </c>
      <c r="G9">
        <f>AVERAGE(F5:F8)</f>
        <v>15.25335393004435</v>
      </c>
      <c r="H9">
        <f>F9-G9</f>
        <v>-7.9289452234165836E-2</v>
      </c>
    </row>
    <row r="10" spans="1:8" x14ac:dyDescent="0.25">
      <c r="A10" s="1">
        <v>39600</v>
      </c>
      <c r="B10">
        <v>12496.3</v>
      </c>
      <c r="C10">
        <v>74565.100000000006</v>
      </c>
      <c r="D10">
        <f t="shared" si="0"/>
        <v>43912.299999999996</v>
      </c>
      <c r="E10">
        <f t="shared" si="1"/>
        <v>286948.5</v>
      </c>
      <c r="F10">
        <f t="shared" si="2"/>
        <v>15.303199006093426</v>
      </c>
      <c r="G10">
        <f t="shared" ref="G10:G73" si="3">AVERAGE(F6:F9)</f>
        <v>15.206337017790986</v>
      </c>
      <c r="H10">
        <f t="shared" ref="H10:H73" si="4">F10-G10</f>
        <v>9.6861988302439528E-2</v>
      </c>
    </row>
    <row r="11" spans="1:8" x14ac:dyDescent="0.25">
      <c r="A11" s="1">
        <v>39692</v>
      </c>
      <c r="B11">
        <v>10075</v>
      </c>
      <c r="C11">
        <v>75672.5</v>
      </c>
      <c r="D11">
        <f t="shared" si="0"/>
        <v>43590.399999999994</v>
      </c>
      <c r="E11">
        <f t="shared" si="1"/>
        <v>295919.30000000005</v>
      </c>
      <c r="F11">
        <f t="shared" si="2"/>
        <v>14.730502539036822</v>
      </c>
      <c r="G11">
        <f t="shared" si="3"/>
        <v>15.236805275284826</v>
      </c>
      <c r="H11">
        <f t="shared" si="4"/>
        <v>-0.50630273624800459</v>
      </c>
    </row>
    <row r="12" spans="1:8" x14ac:dyDescent="0.25">
      <c r="A12" s="1">
        <v>39783</v>
      </c>
      <c r="B12">
        <v>8073.71</v>
      </c>
      <c r="C12">
        <v>78865.899999999994</v>
      </c>
      <c r="D12">
        <f t="shared" si="0"/>
        <v>42440.81</v>
      </c>
      <c r="E12">
        <f t="shared" si="1"/>
        <v>304329.30000000005</v>
      </c>
      <c r="F12">
        <f t="shared" si="2"/>
        <v>13.945686465286119</v>
      </c>
      <c r="G12">
        <f t="shared" si="3"/>
        <v>15.121469389798943</v>
      </c>
      <c r="H12">
        <f t="shared" si="4"/>
        <v>-1.1757829245128235</v>
      </c>
    </row>
    <row r="13" spans="1:8" x14ac:dyDescent="0.25">
      <c r="A13" s="1">
        <v>39873</v>
      </c>
      <c r="B13">
        <v>10190.5999999999</v>
      </c>
      <c r="C13">
        <v>78253.3</v>
      </c>
      <c r="D13">
        <f t="shared" si="0"/>
        <v>40835.609999999899</v>
      </c>
      <c r="E13">
        <f t="shared" si="1"/>
        <v>307356.79999999999</v>
      </c>
      <c r="F13">
        <f t="shared" si="2"/>
        <v>13.286060370227665</v>
      </c>
      <c r="G13">
        <f t="shared" si="3"/>
        <v>14.788363122056637</v>
      </c>
      <c r="H13">
        <f t="shared" si="4"/>
        <v>-1.5023027518289727</v>
      </c>
    </row>
    <row r="14" spans="1:8" x14ac:dyDescent="0.25">
      <c r="A14" s="1">
        <v>39965</v>
      </c>
      <c r="B14">
        <v>9921.1999999999898</v>
      </c>
      <c r="C14">
        <v>74997.8</v>
      </c>
      <c r="D14">
        <f t="shared" si="0"/>
        <v>38260.509999999893</v>
      </c>
      <c r="E14">
        <f t="shared" si="1"/>
        <v>307789.5</v>
      </c>
      <c r="F14">
        <f t="shared" si="2"/>
        <v>12.430739190258242</v>
      </c>
      <c r="G14">
        <f t="shared" si="3"/>
        <v>14.31636209516101</v>
      </c>
      <c r="H14">
        <f t="shared" si="4"/>
        <v>-1.8856229049027675</v>
      </c>
    </row>
    <row r="15" spans="1:8" x14ac:dyDescent="0.25">
      <c r="A15" s="1">
        <v>40057</v>
      </c>
      <c r="B15">
        <v>8126</v>
      </c>
      <c r="C15">
        <v>76667.600000000006</v>
      </c>
      <c r="D15">
        <f t="shared" si="0"/>
        <v>36311.509999999893</v>
      </c>
      <c r="E15">
        <f t="shared" si="1"/>
        <v>308784.59999999998</v>
      </c>
      <c r="F15">
        <f t="shared" si="2"/>
        <v>11.759495130262291</v>
      </c>
      <c r="G15">
        <f t="shared" si="3"/>
        <v>13.598247141202213</v>
      </c>
      <c r="H15">
        <f t="shared" si="4"/>
        <v>-1.8387520109399222</v>
      </c>
    </row>
    <row r="16" spans="1:8" x14ac:dyDescent="0.25">
      <c r="A16" s="1">
        <v>40148</v>
      </c>
      <c r="B16">
        <v>7852.48</v>
      </c>
      <c r="C16">
        <v>80066.899999999994</v>
      </c>
      <c r="D16">
        <f t="shared" si="0"/>
        <v>36090.27999999989</v>
      </c>
      <c r="E16">
        <f t="shared" si="1"/>
        <v>309985.59999999998</v>
      </c>
      <c r="F16">
        <f t="shared" si="2"/>
        <v>11.642566622449523</v>
      </c>
      <c r="G16">
        <f t="shared" si="3"/>
        <v>12.85549528900858</v>
      </c>
      <c r="H16">
        <f t="shared" si="4"/>
        <v>-1.2129286665590566</v>
      </c>
    </row>
    <row r="17" spans="1:8" x14ac:dyDescent="0.25">
      <c r="A17" s="1">
        <v>40238</v>
      </c>
      <c r="B17">
        <v>9717</v>
      </c>
      <c r="C17">
        <v>83764.100000000006</v>
      </c>
      <c r="D17">
        <f t="shared" si="0"/>
        <v>35616.679999999993</v>
      </c>
      <c r="E17">
        <f t="shared" si="1"/>
        <v>315496.40000000002</v>
      </c>
      <c r="F17">
        <f t="shared" si="2"/>
        <v>11.289092363652959</v>
      </c>
      <c r="G17">
        <f t="shared" si="3"/>
        <v>12.27971532829943</v>
      </c>
      <c r="H17">
        <f t="shared" si="4"/>
        <v>-0.99062296464647126</v>
      </c>
    </row>
    <row r="18" spans="1:8" x14ac:dyDescent="0.25">
      <c r="A18" s="1">
        <v>40330</v>
      </c>
      <c r="B18">
        <v>10150.200000000001</v>
      </c>
      <c r="C18">
        <v>80946.3</v>
      </c>
      <c r="D18">
        <f t="shared" si="0"/>
        <v>35845.68</v>
      </c>
      <c r="E18">
        <f t="shared" si="1"/>
        <v>321444.90000000002</v>
      </c>
      <c r="F18">
        <f t="shared" si="2"/>
        <v>11.151422841053007</v>
      </c>
      <c r="G18">
        <f t="shared" si="3"/>
        <v>11.780473326655752</v>
      </c>
      <c r="H18">
        <f t="shared" si="4"/>
        <v>-0.62905048560274501</v>
      </c>
    </row>
    <row r="19" spans="1:8" x14ac:dyDescent="0.25">
      <c r="A19" s="1">
        <v>40422</v>
      </c>
      <c r="B19">
        <v>8965.2999999999993</v>
      </c>
      <c r="C19">
        <v>82168.100000000006</v>
      </c>
      <c r="D19">
        <f t="shared" si="0"/>
        <v>36684.979999999996</v>
      </c>
      <c r="E19">
        <f t="shared" si="1"/>
        <v>326945.40000000002</v>
      </c>
      <c r="F19">
        <f t="shared" si="2"/>
        <v>11.220521836367784</v>
      </c>
      <c r="G19">
        <f t="shared" si="3"/>
        <v>11.460644239354444</v>
      </c>
      <c r="H19">
        <f t="shared" si="4"/>
        <v>-0.24012240298666043</v>
      </c>
    </row>
    <row r="20" spans="1:8" x14ac:dyDescent="0.25">
      <c r="A20" s="1">
        <v>40513</v>
      </c>
      <c r="B20">
        <v>8940.27</v>
      </c>
      <c r="C20">
        <v>87555.7</v>
      </c>
      <c r="D20">
        <f t="shared" si="0"/>
        <v>37772.770000000004</v>
      </c>
      <c r="E20">
        <f t="shared" si="1"/>
        <v>334434.2</v>
      </c>
      <c r="F20">
        <f t="shared" si="2"/>
        <v>11.294529686258164</v>
      </c>
      <c r="G20">
        <f t="shared" si="3"/>
        <v>11.325900915880819</v>
      </c>
      <c r="H20">
        <f t="shared" si="4"/>
        <v>-3.137122962265515E-2</v>
      </c>
    </row>
    <row r="21" spans="1:8" x14ac:dyDescent="0.25">
      <c r="A21" s="1">
        <v>40603</v>
      </c>
      <c r="B21">
        <v>11261.32</v>
      </c>
      <c r="C21">
        <v>91460.7</v>
      </c>
      <c r="D21">
        <f t="shared" si="0"/>
        <v>39317.089999999997</v>
      </c>
      <c r="E21">
        <f t="shared" si="1"/>
        <v>342130.80000000005</v>
      </c>
      <c r="F21">
        <f t="shared" si="2"/>
        <v>11.491830025241805</v>
      </c>
      <c r="G21">
        <f t="shared" si="3"/>
        <v>11.23889168183298</v>
      </c>
      <c r="H21">
        <f t="shared" si="4"/>
        <v>0.25293834340882526</v>
      </c>
    </row>
    <row r="22" spans="1:8" x14ac:dyDescent="0.25">
      <c r="A22" s="1">
        <v>40695</v>
      </c>
      <c r="B22">
        <v>10466.16</v>
      </c>
      <c r="C22">
        <v>89623.1</v>
      </c>
      <c r="D22">
        <f t="shared" si="0"/>
        <v>39633.050000000003</v>
      </c>
      <c r="E22">
        <f t="shared" si="1"/>
        <v>350807.6</v>
      </c>
      <c r="F22">
        <f t="shared" si="2"/>
        <v>11.297660027889933</v>
      </c>
      <c r="G22">
        <f t="shared" si="3"/>
        <v>11.28957609723019</v>
      </c>
      <c r="H22">
        <f t="shared" si="4"/>
        <v>8.0839306597422222E-3</v>
      </c>
    </row>
    <row r="23" spans="1:8" x14ac:dyDescent="0.25">
      <c r="A23" s="1">
        <v>40787</v>
      </c>
      <c r="B23">
        <v>11239.18</v>
      </c>
      <c r="C23">
        <v>92060.3</v>
      </c>
      <c r="D23">
        <f t="shared" si="0"/>
        <v>41906.93</v>
      </c>
      <c r="E23">
        <f t="shared" si="1"/>
        <v>360699.8</v>
      </c>
      <c r="F23">
        <f t="shared" si="2"/>
        <v>11.618229341962486</v>
      </c>
      <c r="G23">
        <f t="shared" si="3"/>
        <v>11.32613539393942</v>
      </c>
      <c r="H23">
        <f t="shared" si="4"/>
        <v>0.29209394802306576</v>
      </c>
    </row>
    <row r="24" spans="1:8" x14ac:dyDescent="0.25">
      <c r="A24" s="1">
        <v>40878</v>
      </c>
      <c r="B24">
        <v>9871.24</v>
      </c>
      <c r="C24">
        <v>96206</v>
      </c>
      <c r="D24">
        <f t="shared" si="0"/>
        <v>42837.9</v>
      </c>
      <c r="E24">
        <f t="shared" si="1"/>
        <v>369350.1</v>
      </c>
      <c r="F24">
        <f t="shared" si="2"/>
        <v>11.598182862276198</v>
      </c>
      <c r="G24">
        <f t="shared" si="3"/>
        <v>11.425562270338098</v>
      </c>
      <c r="H24">
        <f t="shared" si="4"/>
        <v>0.17262059193810053</v>
      </c>
    </row>
    <row r="25" spans="1:8" x14ac:dyDescent="0.25">
      <c r="A25" s="1">
        <v>40969</v>
      </c>
      <c r="B25">
        <v>13165.51</v>
      </c>
      <c r="C25">
        <v>98146.8</v>
      </c>
      <c r="D25">
        <f t="shared" si="0"/>
        <v>44742.090000000004</v>
      </c>
      <c r="E25">
        <f t="shared" si="1"/>
        <v>376036.2</v>
      </c>
      <c r="F25">
        <f t="shared" si="2"/>
        <v>11.898346488981646</v>
      </c>
      <c r="G25">
        <f t="shared" si="3"/>
        <v>11.501475564342604</v>
      </c>
      <c r="H25">
        <f t="shared" si="4"/>
        <v>0.3968709246390425</v>
      </c>
    </row>
    <row r="26" spans="1:8" x14ac:dyDescent="0.25">
      <c r="A26" s="1">
        <v>41061</v>
      </c>
      <c r="B26">
        <v>12551.6</v>
      </c>
      <c r="C26">
        <v>95001.2</v>
      </c>
      <c r="D26">
        <f t="shared" si="0"/>
        <v>46827.53</v>
      </c>
      <c r="E26">
        <f t="shared" si="1"/>
        <v>381414.3</v>
      </c>
      <c r="F26">
        <f t="shared" si="2"/>
        <v>12.27733988998315</v>
      </c>
      <c r="G26">
        <f t="shared" si="3"/>
        <v>11.603104680277566</v>
      </c>
      <c r="H26">
        <f t="shared" si="4"/>
        <v>0.67423520970558393</v>
      </c>
    </row>
    <row r="27" spans="1:8" x14ac:dyDescent="0.25">
      <c r="A27" s="1">
        <v>41153</v>
      </c>
      <c r="B27">
        <v>11646.85</v>
      </c>
      <c r="C27">
        <v>95942.2</v>
      </c>
      <c r="D27">
        <f t="shared" si="0"/>
        <v>47235.199999999997</v>
      </c>
      <c r="E27">
        <f t="shared" si="1"/>
        <v>385296.2</v>
      </c>
      <c r="F27">
        <f t="shared" si="2"/>
        <v>12.259451300064727</v>
      </c>
      <c r="G27">
        <f t="shared" si="3"/>
        <v>11.848024645800869</v>
      </c>
      <c r="H27">
        <f t="shared" si="4"/>
        <v>0.41142665426385783</v>
      </c>
    </row>
    <row r="28" spans="1:8" x14ac:dyDescent="0.25">
      <c r="A28" s="1">
        <v>41244</v>
      </c>
      <c r="B28">
        <v>11185.9</v>
      </c>
      <c r="C28">
        <v>101835.8</v>
      </c>
      <c r="D28">
        <f t="shared" si="0"/>
        <v>48549.86</v>
      </c>
      <c r="E28">
        <f t="shared" si="1"/>
        <v>390926</v>
      </c>
      <c r="F28">
        <f t="shared" si="2"/>
        <v>12.419194425543454</v>
      </c>
      <c r="G28">
        <f t="shared" si="3"/>
        <v>12.00833013532643</v>
      </c>
      <c r="H28">
        <f t="shared" si="4"/>
        <v>0.41086429021702386</v>
      </c>
    </row>
    <row r="29" spans="1:8" x14ac:dyDescent="0.25">
      <c r="A29" s="1">
        <v>41334</v>
      </c>
      <c r="B29">
        <v>12634.31164</v>
      </c>
      <c r="C29">
        <v>103834.56359999999</v>
      </c>
      <c r="D29">
        <f t="shared" si="0"/>
        <v>48018.661639999998</v>
      </c>
      <c r="E29">
        <f t="shared" si="1"/>
        <v>396613.76360000001</v>
      </c>
      <c r="F29">
        <f t="shared" si="2"/>
        <v>12.107159671954459</v>
      </c>
      <c r="G29">
        <f t="shared" si="3"/>
        <v>12.213583026143244</v>
      </c>
      <c r="H29">
        <f t="shared" si="4"/>
        <v>-0.10642335418878446</v>
      </c>
    </row>
    <row r="30" spans="1:8" x14ac:dyDescent="0.25">
      <c r="A30" s="1">
        <v>41426</v>
      </c>
      <c r="B30">
        <v>12728.15201</v>
      </c>
      <c r="C30">
        <v>102176.59020000001</v>
      </c>
      <c r="D30">
        <f t="shared" si="0"/>
        <v>48195.213649999998</v>
      </c>
      <c r="E30">
        <f t="shared" si="1"/>
        <v>403789.15379999997</v>
      </c>
      <c r="F30">
        <f t="shared" si="2"/>
        <v>11.935737549273421</v>
      </c>
      <c r="G30">
        <f t="shared" si="3"/>
        <v>12.265786321886448</v>
      </c>
      <c r="H30">
        <f t="shared" si="4"/>
        <v>-0.33004877261302745</v>
      </c>
    </row>
    <row r="31" spans="1:8" x14ac:dyDescent="0.25">
      <c r="A31" s="1">
        <v>41518</v>
      </c>
      <c r="B31">
        <v>13071.63363</v>
      </c>
      <c r="C31">
        <v>102217.26420000001</v>
      </c>
      <c r="D31">
        <f t="shared" si="0"/>
        <v>49619.997279999996</v>
      </c>
      <c r="E31">
        <f t="shared" si="1"/>
        <v>410064.21799999999</v>
      </c>
      <c r="F31">
        <f t="shared" si="2"/>
        <v>12.100543061769899</v>
      </c>
      <c r="G31">
        <f t="shared" si="3"/>
        <v>12.180385736709015</v>
      </c>
      <c r="H31">
        <f t="shared" si="4"/>
        <v>-7.9842674939115454E-2</v>
      </c>
    </row>
    <row r="32" spans="1:8" x14ac:dyDescent="0.25">
      <c r="A32" s="1">
        <v>41609</v>
      </c>
      <c r="B32">
        <v>11686.804620000001</v>
      </c>
      <c r="C32">
        <v>108154.8023</v>
      </c>
      <c r="D32">
        <f t="shared" si="0"/>
        <v>50120.901900000004</v>
      </c>
      <c r="E32">
        <f t="shared" si="1"/>
        <v>416383.22029999999</v>
      </c>
      <c r="F32">
        <f t="shared" si="2"/>
        <v>12.037205020867168</v>
      </c>
      <c r="G32">
        <f t="shared" si="3"/>
        <v>12.140658677135308</v>
      </c>
      <c r="H32">
        <f t="shared" si="4"/>
        <v>-0.10345365626814029</v>
      </c>
    </row>
    <row r="33" spans="1:8" x14ac:dyDescent="0.25">
      <c r="A33" s="1">
        <v>41699</v>
      </c>
      <c r="B33">
        <v>14021.465679999999</v>
      </c>
      <c r="C33">
        <v>109523.7172</v>
      </c>
      <c r="D33">
        <f t="shared" si="0"/>
        <v>51508.055940000006</v>
      </c>
      <c r="E33">
        <f t="shared" si="1"/>
        <v>422072.37390000001</v>
      </c>
      <c r="F33">
        <f t="shared" si="2"/>
        <v>12.203607515000167</v>
      </c>
      <c r="G33">
        <f t="shared" si="3"/>
        <v>12.045161325966237</v>
      </c>
      <c r="H33">
        <f t="shared" si="4"/>
        <v>0.15844618903392949</v>
      </c>
    </row>
    <row r="34" spans="1:8" x14ac:dyDescent="0.25">
      <c r="A34" s="1">
        <v>41791</v>
      </c>
      <c r="B34">
        <v>13194.797699999999</v>
      </c>
      <c r="C34">
        <v>109403.59239999999</v>
      </c>
      <c r="D34">
        <f t="shared" si="0"/>
        <v>51974.701629999996</v>
      </c>
      <c r="E34">
        <f t="shared" si="1"/>
        <v>429299.37609999999</v>
      </c>
      <c r="F34">
        <f t="shared" si="2"/>
        <v>12.106866332340797</v>
      </c>
      <c r="G34">
        <f t="shared" si="3"/>
        <v>12.069273286727663</v>
      </c>
      <c r="H34">
        <f t="shared" si="4"/>
        <v>3.7593045613133924E-2</v>
      </c>
    </row>
    <row r="35" spans="1:8" x14ac:dyDescent="0.25">
      <c r="A35" s="1">
        <v>41883</v>
      </c>
      <c r="B35">
        <v>13486.013999999999</v>
      </c>
      <c r="C35">
        <v>111334.2455</v>
      </c>
      <c r="D35">
        <f t="shared" si="0"/>
        <v>52389.081999999995</v>
      </c>
      <c r="E35">
        <f t="shared" si="1"/>
        <v>438416.35740000004</v>
      </c>
      <c r="F35">
        <f t="shared" si="2"/>
        <v>11.949618465581455</v>
      </c>
      <c r="G35">
        <f t="shared" si="3"/>
        <v>12.112055482494508</v>
      </c>
      <c r="H35">
        <f t="shared" si="4"/>
        <v>-0.1624370169130529</v>
      </c>
    </row>
    <row r="36" spans="1:8" x14ac:dyDescent="0.25">
      <c r="A36" s="1">
        <v>41974</v>
      </c>
      <c r="B36">
        <v>13817.637979999899</v>
      </c>
      <c r="C36">
        <v>117064.7711</v>
      </c>
      <c r="D36">
        <f t="shared" si="0"/>
        <v>54519.915359999897</v>
      </c>
      <c r="E36">
        <f t="shared" si="1"/>
        <v>447326.32620000001</v>
      </c>
      <c r="F36">
        <f t="shared" si="2"/>
        <v>12.18795142757236</v>
      </c>
      <c r="G36">
        <f t="shared" si="3"/>
        <v>12.074324333447397</v>
      </c>
      <c r="H36">
        <f t="shared" si="4"/>
        <v>0.11362709412496308</v>
      </c>
    </row>
    <row r="37" spans="1:8" x14ac:dyDescent="0.25">
      <c r="A37" s="1">
        <v>42064</v>
      </c>
      <c r="B37">
        <v>13824.052229999999</v>
      </c>
      <c r="C37">
        <v>117897.27529999999</v>
      </c>
      <c r="D37">
        <f t="shared" si="0"/>
        <v>54322.501909999897</v>
      </c>
      <c r="E37">
        <f t="shared" si="1"/>
        <v>455699.88429999998</v>
      </c>
      <c r="F37">
        <f t="shared" si="2"/>
        <v>11.92067494014062</v>
      </c>
      <c r="G37">
        <f t="shared" si="3"/>
        <v>12.112010935123696</v>
      </c>
      <c r="H37">
        <f t="shared" si="4"/>
        <v>-0.19133599498307596</v>
      </c>
    </row>
    <row r="38" spans="1:8" x14ac:dyDescent="0.25">
      <c r="A38" s="1">
        <v>42156</v>
      </c>
      <c r="B38">
        <v>13264.61831</v>
      </c>
      <c r="C38">
        <v>116183.442</v>
      </c>
      <c r="D38">
        <f t="shared" si="0"/>
        <v>54392.3225199999</v>
      </c>
      <c r="E38">
        <f t="shared" si="1"/>
        <v>462479.73389999999</v>
      </c>
      <c r="F38">
        <f t="shared" si="2"/>
        <v>11.761017517745096</v>
      </c>
      <c r="G38">
        <f t="shared" si="3"/>
        <v>12.041277791408808</v>
      </c>
      <c r="H38">
        <f t="shared" si="4"/>
        <v>-0.28026027366371231</v>
      </c>
    </row>
    <row r="39" spans="1:8" x14ac:dyDescent="0.25">
      <c r="A39" s="1">
        <v>42248</v>
      </c>
      <c r="B39">
        <v>15107.657289999999</v>
      </c>
      <c r="C39">
        <v>118716.5307</v>
      </c>
      <c r="D39">
        <f t="shared" si="0"/>
        <v>56013.965809999892</v>
      </c>
      <c r="E39">
        <f t="shared" si="1"/>
        <v>469862.01909999998</v>
      </c>
      <c r="F39">
        <f t="shared" si="2"/>
        <v>11.921364897144098</v>
      </c>
      <c r="G39">
        <f t="shared" si="3"/>
        <v>11.954815587759883</v>
      </c>
      <c r="H39">
        <f t="shared" si="4"/>
        <v>-3.3450690615785206E-2</v>
      </c>
    </row>
    <row r="40" spans="1:8" x14ac:dyDescent="0.25">
      <c r="A40" s="1">
        <v>42339</v>
      </c>
      <c r="B40">
        <v>16271.7294599999</v>
      </c>
      <c r="C40">
        <v>123225.5732</v>
      </c>
      <c r="D40">
        <f t="shared" si="0"/>
        <v>58468.057289999895</v>
      </c>
      <c r="E40">
        <f t="shared" si="1"/>
        <v>476022.82120000001</v>
      </c>
      <c r="F40">
        <f t="shared" si="2"/>
        <v>12.282616438978387</v>
      </c>
      <c r="G40">
        <f t="shared" si="3"/>
        <v>11.947752195650544</v>
      </c>
      <c r="H40">
        <f t="shared" si="4"/>
        <v>0.33486424332784281</v>
      </c>
    </row>
    <row r="41" spans="1:8" x14ac:dyDescent="0.25">
      <c r="A41" s="1">
        <v>42430</v>
      </c>
      <c r="B41">
        <v>14399.812320000001</v>
      </c>
      <c r="C41">
        <v>123838.5435</v>
      </c>
      <c r="D41">
        <f t="shared" si="0"/>
        <v>59043.817379999906</v>
      </c>
      <c r="E41">
        <f t="shared" si="1"/>
        <v>481964.08939999994</v>
      </c>
      <c r="F41">
        <f t="shared" si="2"/>
        <v>12.250667358537836</v>
      </c>
      <c r="G41">
        <f t="shared" si="3"/>
        <v>11.971418448502051</v>
      </c>
      <c r="H41">
        <f t="shared" si="4"/>
        <v>0.27924891003578445</v>
      </c>
    </row>
    <row r="42" spans="1:8" x14ac:dyDescent="0.25">
      <c r="A42" s="1">
        <v>42522</v>
      </c>
      <c r="B42">
        <v>15070.354359999899</v>
      </c>
      <c r="C42">
        <v>122799.36689999999</v>
      </c>
      <c r="D42">
        <f t="shared" si="0"/>
        <v>60849.553429999796</v>
      </c>
      <c r="E42">
        <f t="shared" si="1"/>
        <v>488580.01430000004</v>
      </c>
      <c r="F42">
        <f t="shared" si="2"/>
        <v>12.454368097143794</v>
      </c>
      <c r="G42">
        <f t="shared" si="3"/>
        <v>12.053916553101356</v>
      </c>
      <c r="H42">
        <f t="shared" si="4"/>
        <v>0.4004515440424381</v>
      </c>
    </row>
    <row r="43" spans="1:8" x14ac:dyDescent="0.25">
      <c r="A43" s="1">
        <v>42614</v>
      </c>
      <c r="B43">
        <v>14510.90674</v>
      </c>
      <c r="C43">
        <v>124518.04949999999</v>
      </c>
      <c r="D43">
        <f t="shared" si="0"/>
        <v>60252.802879999799</v>
      </c>
      <c r="E43">
        <f t="shared" si="1"/>
        <v>494381.5331</v>
      </c>
      <c r="F43">
        <f t="shared" si="2"/>
        <v>12.187510828365083</v>
      </c>
      <c r="G43">
        <f t="shared" si="3"/>
        <v>12.227254197951028</v>
      </c>
      <c r="H43">
        <f t="shared" si="4"/>
        <v>-3.9743369585945487E-2</v>
      </c>
    </row>
    <row r="44" spans="1:8" x14ac:dyDescent="0.25">
      <c r="A44" s="1">
        <v>42705</v>
      </c>
      <c r="B44">
        <v>14649.65264</v>
      </c>
      <c r="C44">
        <v>130845.7444</v>
      </c>
      <c r="D44">
        <f t="shared" si="0"/>
        <v>58630.726059999899</v>
      </c>
      <c r="E44">
        <f t="shared" si="1"/>
        <v>502001.70429999998</v>
      </c>
      <c r="F44">
        <f t="shared" si="2"/>
        <v>11.679387850237603</v>
      </c>
      <c r="G44">
        <f t="shared" si="3"/>
        <v>12.293790680756276</v>
      </c>
      <c r="H44">
        <f t="shared" si="4"/>
        <v>-0.61440283051867262</v>
      </c>
    </row>
    <row r="45" spans="1:8" x14ac:dyDescent="0.25">
      <c r="A45" s="1">
        <v>42795</v>
      </c>
      <c r="B45">
        <v>14817.856460000001</v>
      </c>
      <c r="C45">
        <v>131682.7084</v>
      </c>
      <c r="D45">
        <f t="shared" si="0"/>
        <v>59048.770199999904</v>
      </c>
      <c r="E45">
        <f t="shared" si="1"/>
        <v>509845.86919999996</v>
      </c>
      <c r="F45">
        <f t="shared" si="2"/>
        <v>11.581690421980555</v>
      </c>
      <c r="G45">
        <f t="shared" si="3"/>
        <v>12.14298353357108</v>
      </c>
      <c r="H45">
        <f t="shared" si="4"/>
        <v>-0.56129311159052442</v>
      </c>
    </row>
    <row r="46" spans="1:8" x14ac:dyDescent="0.25">
      <c r="A46" s="1">
        <v>42887</v>
      </c>
      <c r="B46">
        <v>14701.4514699999</v>
      </c>
      <c r="C46">
        <v>127650.414</v>
      </c>
      <c r="D46">
        <f t="shared" si="0"/>
        <v>58679.8673099999</v>
      </c>
      <c r="E46">
        <f t="shared" si="1"/>
        <v>514696.91629999998</v>
      </c>
      <c r="F46">
        <f t="shared" si="2"/>
        <v>11.400858534733736</v>
      </c>
      <c r="G46">
        <f t="shared" si="3"/>
        <v>11.975739299431758</v>
      </c>
      <c r="H46">
        <f t="shared" si="4"/>
        <v>-0.57488076469802252</v>
      </c>
    </row>
    <row r="47" spans="1:8" x14ac:dyDescent="0.25">
      <c r="A47" s="1">
        <v>42979</v>
      </c>
      <c r="B47">
        <v>15622.769609999999</v>
      </c>
      <c r="C47">
        <v>130291.6691</v>
      </c>
      <c r="D47">
        <f t="shared" si="0"/>
        <v>59791.730179999897</v>
      </c>
      <c r="E47">
        <f t="shared" si="1"/>
        <v>520470.53589999996</v>
      </c>
      <c r="F47">
        <f t="shared" si="2"/>
        <v>11.488014413074849</v>
      </c>
      <c r="G47">
        <f t="shared" si="3"/>
        <v>11.712361908829244</v>
      </c>
      <c r="H47">
        <f t="shared" si="4"/>
        <v>-0.22434749575439561</v>
      </c>
    </row>
    <row r="48" spans="1:8" x14ac:dyDescent="0.25">
      <c r="A48" s="1">
        <v>43070</v>
      </c>
      <c r="B48">
        <v>14379.416939999999</v>
      </c>
      <c r="C48">
        <v>136882.62280000001</v>
      </c>
      <c r="D48">
        <f t="shared" si="0"/>
        <v>59521.494479999892</v>
      </c>
      <c r="E48">
        <f t="shared" si="1"/>
        <v>526507.41430000006</v>
      </c>
      <c r="F48">
        <f t="shared" si="2"/>
        <v>11.304967957409424</v>
      </c>
      <c r="G48">
        <f t="shared" si="3"/>
        <v>11.537487805006686</v>
      </c>
      <c r="H48">
        <f t="shared" si="4"/>
        <v>-0.23251984759726163</v>
      </c>
    </row>
    <row r="49" spans="1:8" x14ac:dyDescent="0.25">
      <c r="A49" s="1">
        <v>43160</v>
      </c>
      <c r="B49">
        <v>15107.018599999999</v>
      </c>
      <c r="C49">
        <v>136945.13449999999</v>
      </c>
      <c r="D49">
        <f t="shared" si="0"/>
        <v>59810.656619999892</v>
      </c>
      <c r="E49">
        <f t="shared" si="1"/>
        <v>531769.84039999999</v>
      </c>
      <c r="F49">
        <f t="shared" si="2"/>
        <v>11.247470630340754</v>
      </c>
      <c r="G49">
        <f t="shared" si="3"/>
        <v>11.443882831799641</v>
      </c>
      <c r="H49">
        <f t="shared" si="4"/>
        <v>-0.19641220145888738</v>
      </c>
    </row>
    <row r="50" spans="1:8" x14ac:dyDescent="0.25">
      <c r="A50" s="1">
        <v>43252</v>
      </c>
      <c r="B50">
        <v>15723.784030000001</v>
      </c>
      <c r="C50">
        <v>134587.61300000001</v>
      </c>
      <c r="D50">
        <f t="shared" si="0"/>
        <v>60832.989179999997</v>
      </c>
      <c r="E50">
        <f t="shared" si="1"/>
        <v>538707.03940000001</v>
      </c>
      <c r="F50">
        <f t="shared" si="2"/>
        <v>11.292406582946166</v>
      </c>
      <c r="G50">
        <f t="shared" si="3"/>
        <v>11.360327883889692</v>
      </c>
      <c r="H50">
        <f t="shared" si="4"/>
        <v>-6.7921300943526219E-2</v>
      </c>
    </row>
    <row r="51" spans="1:8" x14ac:dyDescent="0.25">
      <c r="A51" s="1">
        <v>43344</v>
      </c>
      <c r="B51">
        <v>15645.187480000001</v>
      </c>
      <c r="C51">
        <v>136449.39689999999</v>
      </c>
      <c r="D51">
        <f t="shared" si="0"/>
        <v>60855.407050000002</v>
      </c>
      <c r="E51">
        <f t="shared" si="1"/>
        <v>544864.7672</v>
      </c>
      <c r="F51">
        <f t="shared" si="2"/>
        <v>11.168901113340331</v>
      </c>
      <c r="G51">
        <f t="shared" si="3"/>
        <v>11.333214895942797</v>
      </c>
      <c r="H51">
        <f t="shared" si="4"/>
        <v>-0.16431378260246632</v>
      </c>
    </row>
    <row r="52" spans="1:8" x14ac:dyDescent="0.25">
      <c r="A52" s="1">
        <v>43435</v>
      </c>
      <c r="B52">
        <v>14683.7549</v>
      </c>
      <c r="C52">
        <v>143385.93770000001</v>
      </c>
      <c r="D52">
        <f t="shared" si="0"/>
        <v>61159.745009999999</v>
      </c>
      <c r="E52">
        <f t="shared" si="1"/>
        <v>551368.0821</v>
      </c>
      <c r="F52">
        <f t="shared" si="2"/>
        <v>11.092362252283518</v>
      </c>
      <c r="G52">
        <f t="shared" si="3"/>
        <v>11.253436571009169</v>
      </c>
      <c r="H52">
        <f t="shared" si="4"/>
        <v>-0.16107431872565137</v>
      </c>
    </row>
    <row r="53" spans="1:8" x14ac:dyDescent="0.25">
      <c r="A53" s="1">
        <v>43525</v>
      </c>
      <c r="B53">
        <v>16085.055</v>
      </c>
      <c r="C53">
        <v>144940.7132</v>
      </c>
      <c r="D53">
        <f t="shared" si="0"/>
        <v>62137.781410000003</v>
      </c>
      <c r="E53">
        <f t="shared" si="1"/>
        <v>559363.66079999995</v>
      </c>
      <c r="F53">
        <f t="shared" si="2"/>
        <v>11.10865538192645</v>
      </c>
      <c r="G53">
        <f t="shared" si="3"/>
        <v>11.200285144727694</v>
      </c>
      <c r="H53">
        <f t="shared" si="4"/>
        <v>-9.1629762801243686E-2</v>
      </c>
    </row>
    <row r="54" spans="1:8" x14ac:dyDescent="0.25">
      <c r="A54" s="1">
        <v>43617</v>
      </c>
      <c r="B54">
        <v>17768.43766</v>
      </c>
      <c r="C54">
        <v>145359.22760000001</v>
      </c>
      <c r="D54">
        <f t="shared" si="0"/>
        <v>64182.435039999997</v>
      </c>
      <c r="E54">
        <f t="shared" si="1"/>
        <v>570135.27540000004</v>
      </c>
      <c r="F54">
        <f t="shared" si="2"/>
        <v>11.257404656284487</v>
      </c>
      <c r="G54">
        <f t="shared" si="3"/>
        <v>11.165581332624118</v>
      </c>
      <c r="H54">
        <f t="shared" si="4"/>
        <v>9.1823323660369383E-2</v>
      </c>
    </row>
    <row r="55" spans="1:8" x14ac:dyDescent="0.25">
      <c r="A55" s="1">
        <v>43709</v>
      </c>
      <c r="B55">
        <v>17666.083209999899</v>
      </c>
      <c r="C55">
        <v>147623.62040000001</v>
      </c>
      <c r="D55">
        <f t="shared" si="0"/>
        <v>66203.330769999899</v>
      </c>
      <c r="E55">
        <f t="shared" si="1"/>
        <v>581309.49890000001</v>
      </c>
      <c r="F55">
        <f t="shared" si="2"/>
        <v>11.388654562720047</v>
      </c>
      <c r="G55">
        <f t="shared" si="3"/>
        <v>11.156830850958697</v>
      </c>
      <c r="H55">
        <f t="shared" si="4"/>
        <v>0.23182371176135064</v>
      </c>
    </row>
    <row r="56" spans="1:8" x14ac:dyDescent="0.25">
      <c r="A56" s="1">
        <v>43800</v>
      </c>
      <c r="B56">
        <v>17603.679049999999</v>
      </c>
      <c r="C56">
        <v>156048.45860000001</v>
      </c>
      <c r="D56">
        <f t="shared" si="0"/>
        <v>69123.25491999989</v>
      </c>
      <c r="E56">
        <f t="shared" si="1"/>
        <v>593972.01980000001</v>
      </c>
      <c r="F56">
        <f t="shared" si="2"/>
        <v>11.637459781906024</v>
      </c>
      <c r="G56">
        <f t="shared" si="3"/>
        <v>11.211769213303626</v>
      </c>
      <c r="H56">
        <f t="shared" si="4"/>
        <v>0.4256905686023984</v>
      </c>
    </row>
    <row r="57" spans="1:8" x14ac:dyDescent="0.25">
      <c r="A57" s="1">
        <v>43891</v>
      </c>
      <c r="B57">
        <v>17004.295979999999</v>
      </c>
      <c r="C57">
        <v>151214.1966</v>
      </c>
      <c r="D57">
        <f t="shared" si="0"/>
        <v>70042.495899999893</v>
      </c>
      <c r="E57">
        <f t="shared" si="1"/>
        <v>600245.50320000004</v>
      </c>
      <c r="F57">
        <f t="shared" si="2"/>
        <v>11.668974698951128</v>
      </c>
      <c r="G57">
        <f t="shared" si="3"/>
        <v>11.348043595709253</v>
      </c>
      <c r="H57">
        <f t="shared" si="4"/>
        <v>0.32093110324187535</v>
      </c>
    </row>
    <row r="58" spans="1:8" x14ac:dyDescent="0.25">
      <c r="A58" s="1">
        <v>43983</v>
      </c>
      <c r="B58">
        <v>13362.9788099999</v>
      </c>
      <c r="C58">
        <v>136507.745</v>
      </c>
      <c r="D58">
        <f t="shared" si="0"/>
        <v>65637.037049999795</v>
      </c>
      <c r="E58">
        <f t="shared" si="1"/>
        <v>591394.02060000005</v>
      </c>
      <c r="F58">
        <f t="shared" si="2"/>
        <v>11.098698120655262</v>
      </c>
      <c r="G58">
        <f t="shared" si="3"/>
        <v>11.488123424965423</v>
      </c>
      <c r="H58">
        <f t="shared" si="4"/>
        <v>-0.38942530431016031</v>
      </c>
    </row>
    <row r="59" spans="1:8" x14ac:dyDescent="0.25">
      <c r="A59" s="1">
        <v>44075</v>
      </c>
      <c r="B59">
        <v>17241.24336</v>
      </c>
      <c r="C59">
        <v>150128.76259999999</v>
      </c>
      <c r="D59">
        <f t="shared" si="0"/>
        <v>65212.1971999999</v>
      </c>
      <c r="E59">
        <f t="shared" si="1"/>
        <v>593899.16280000005</v>
      </c>
      <c r="F59">
        <f t="shared" si="2"/>
        <v>10.980348396611664</v>
      </c>
      <c r="G59">
        <f t="shared" si="3"/>
        <v>11.448446791058116</v>
      </c>
      <c r="H59">
        <f t="shared" si="4"/>
        <v>-0.46809839444645185</v>
      </c>
    </row>
    <row r="60" spans="1:8" x14ac:dyDescent="0.25">
      <c r="A60" s="1">
        <v>44166</v>
      </c>
      <c r="B60">
        <v>16662.9503899999</v>
      </c>
      <c r="C60">
        <v>162271.79670000001</v>
      </c>
      <c r="D60">
        <f t="shared" si="0"/>
        <v>64271.468539999798</v>
      </c>
      <c r="E60">
        <f t="shared" si="1"/>
        <v>600122.5009000001</v>
      </c>
      <c r="F60">
        <f t="shared" si="2"/>
        <v>10.709724838447528</v>
      </c>
      <c r="G60">
        <f t="shared" si="3"/>
        <v>11.34637024953102</v>
      </c>
      <c r="H60">
        <f t="shared" si="4"/>
        <v>-0.63664541108349226</v>
      </c>
    </row>
    <row r="61" spans="1:8" x14ac:dyDescent="0.25">
      <c r="A61" s="1">
        <v>44256</v>
      </c>
      <c r="B61">
        <v>22284.60699</v>
      </c>
      <c r="C61">
        <v>162670.38089999999</v>
      </c>
      <c r="D61">
        <f t="shared" si="0"/>
        <v>69551.779549999803</v>
      </c>
      <c r="E61">
        <f t="shared" si="1"/>
        <v>611578.68519999995</v>
      </c>
      <c r="F61">
        <f t="shared" si="2"/>
        <v>11.37249894954315</v>
      </c>
      <c r="G61">
        <f t="shared" si="3"/>
        <v>11.114436513666394</v>
      </c>
      <c r="H61">
        <f t="shared" si="4"/>
        <v>0.25806243587675581</v>
      </c>
    </row>
    <row r="62" spans="1:8" x14ac:dyDescent="0.25">
      <c r="A62" s="1">
        <v>44348</v>
      </c>
      <c r="B62">
        <v>21898.662199999999</v>
      </c>
      <c r="C62">
        <v>161775.4712</v>
      </c>
      <c r="D62">
        <f t="shared" si="0"/>
        <v>78087.46293999991</v>
      </c>
      <c r="E62">
        <f t="shared" si="1"/>
        <v>636846.41139999998</v>
      </c>
      <c r="F62">
        <f t="shared" si="2"/>
        <v>12.261584825191639</v>
      </c>
      <c r="G62">
        <f t="shared" si="3"/>
        <v>11.040317576314401</v>
      </c>
      <c r="H62">
        <f t="shared" si="4"/>
        <v>1.221267248877238</v>
      </c>
    </row>
    <row r="63" spans="1:8" x14ac:dyDescent="0.25">
      <c r="A63" s="1">
        <v>44440</v>
      </c>
      <c r="B63">
        <v>24309.775679999999</v>
      </c>
      <c r="C63">
        <v>167039.88200000001</v>
      </c>
      <c r="D63">
        <f t="shared" si="0"/>
        <v>85155.995259999894</v>
      </c>
      <c r="E63">
        <f t="shared" si="1"/>
        <v>653757.53079999995</v>
      </c>
      <c r="F63">
        <f t="shared" si="2"/>
        <v>13.025623606323114</v>
      </c>
      <c r="G63">
        <f t="shared" si="3"/>
        <v>11.331039252448496</v>
      </c>
      <c r="H63">
        <f t="shared" si="4"/>
        <v>1.6945843538746175</v>
      </c>
    </row>
    <row r="64" spans="1:8" x14ac:dyDescent="0.25">
      <c r="A64" s="1">
        <v>44531</v>
      </c>
      <c r="B64">
        <v>23578.605539999899</v>
      </c>
      <c r="C64">
        <v>177194.8</v>
      </c>
      <c r="D64">
        <f t="shared" si="0"/>
        <v>92071.6504099999</v>
      </c>
      <c r="E64">
        <f t="shared" si="1"/>
        <v>668680.53410000005</v>
      </c>
      <c r="F64">
        <f t="shared" si="2"/>
        <v>13.769153686210153</v>
      </c>
      <c r="G64">
        <f t="shared" si="3"/>
        <v>11.842358054876359</v>
      </c>
      <c r="H64">
        <f t="shared" si="4"/>
        <v>1.9267956313337944</v>
      </c>
    </row>
    <row r="65" spans="1:8" x14ac:dyDescent="0.25">
      <c r="A65" s="1">
        <v>44621</v>
      </c>
      <c r="B65">
        <v>25981.348399999999</v>
      </c>
      <c r="C65">
        <v>179250.9418</v>
      </c>
      <c r="D65">
        <f t="shared" si="0"/>
        <v>95768.391819999903</v>
      </c>
      <c r="E65">
        <f t="shared" si="1"/>
        <v>685261.09499999997</v>
      </c>
      <c r="F65">
        <f t="shared" si="2"/>
        <v>13.975460232424242</v>
      </c>
      <c r="G65">
        <f t="shared" si="3"/>
        <v>12.607215266817015</v>
      </c>
      <c r="H65">
        <f t="shared" si="4"/>
        <v>1.3682449656072269</v>
      </c>
    </row>
    <row r="66" spans="1:8" x14ac:dyDescent="0.25">
      <c r="A66" s="1">
        <v>44713</v>
      </c>
      <c r="B66">
        <v>25548.35212</v>
      </c>
      <c r="C66">
        <v>179675.77069999999</v>
      </c>
      <c r="D66">
        <f t="shared" si="0"/>
        <v>99418.081739999892</v>
      </c>
      <c r="E66">
        <f t="shared" si="1"/>
        <v>703161.39450000005</v>
      </c>
      <c r="F66">
        <f t="shared" si="2"/>
        <v>14.138728678455609</v>
      </c>
      <c r="G66">
        <f t="shared" si="3"/>
        <v>13.257955587537285</v>
      </c>
      <c r="H66">
        <f t="shared" si="4"/>
        <v>0.88077309091832312</v>
      </c>
    </row>
    <row r="67" spans="1:8" x14ac:dyDescent="0.25">
      <c r="A67" s="1">
        <v>44805</v>
      </c>
      <c r="B67">
        <v>27847.954989999998</v>
      </c>
      <c r="C67">
        <v>185671.34729999999</v>
      </c>
      <c r="D67">
        <f t="shared" si="0"/>
        <v>102956.2610499999</v>
      </c>
      <c r="E67">
        <f t="shared" si="1"/>
        <v>721792.85979999998</v>
      </c>
      <c r="F67">
        <f t="shared" si="2"/>
        <v>14.263962250683365</v>
      </c>
      <c r="G67">
        <f t="shared" si="3"/>
        <v>13.727241550853279</v>
      </c>
      <c r="H67">
        <f t="shared" si="4"/>
        <v>0.53672069983008619</v>
      </c>
    </row>
    <row r="68" spans="1:8" x14ac:dyDescent="0.25">
      <c r="A68" s="1">
        <v>44896</v>
      </c>
      <c r="B68">
        <v>25969.18636</v>
      </c>
      <c r="C68">
        <v>196455.16329999999</v>
      </c>
      <c r="D68">
        <f t="shared" si="0"/>
        <v>105346.84187</v>
      </c>
      <c r="E68">
        <f t="shared" si="1"/>
        <v>741053.22310000006</v>
      </c>
      <c r="F68">
        <f t="shared" si="2"/>
        <v>14.21582668911544</v>
      </c>
      <c r="G68">
        <f t="shared" si="3"/>
        <v>14.036826211943341</v>
      </c>
      <c r="H68">
        <f t="shared" si="4"/>
        <v>0.17900047717209944</v>
      </c>
    </row>
    <row r="69" spans="1:8" x14ac:dyDescent="0.25">
      <c r="A69" s="1">
        <v>44986</v>
      </c>
      <c r="B69">
        <v>28370.37227</v>
      </c>
      <c r="C69">
        <v>200604.59779999999</v>
      </c>
      <c r="D69">
        <f t="shared" si="0"/>
        <v>107735.86573999998</v>
      </c>
      <c r="E69">
        <f t="shared" si="1"/>
        <v>762406.87910000002</v>
      </c>
      <c r="F69">
        <f t="shared" si="2"/>
        <v>14.131019629201031</v>
      </c>
      <c r="G69">
        <f t="shared" si="3"/>
        <v>14.148494462669664</v>
      </c>
      <c r="H69">
        <f t="shared" si="4"/>
        <v>-1.7474833468632767E-2</v>
      </c>
    </row>
    <row r="70" spans="1:8" x14ac:dyDescent="0.25">
      <c r="A70" s="1">
        <v>45078</v>
      </c>
      <c r="B70">
        <v>27376.241190000001</v>
      </c>
      <c r="C70">
        <v>200381.2867</v>
      </c>
      <c r="D70">
        <f t="shared" ref="D70:D79" si="5">SUM(B67:B70)</f>
        <v>109563.75481</v>
      </c>
      <c r="E70">
        <f t="shared" ref="E70:E79" si="6">SUM(C67:C70)</f>
        <v>783112.39510000008</v>
      </c>
      <c r="F70">
        <f t="shared" ref="F70:F79" si="7">(D70/E70)*100</f>
        <v>13.99080840701151</v>
      </c>
      <c r="G70">
        <f t="shared" si="3"/>
        <v>14.187384311863863</v>
      </c>
      <c r="H70">
        <f t="shared" si="4"/>
        <v>-0.19657590485235232</v>
      </c>
    </row>
    <row r="71" spans="1:8" x14ac:dyDescent="0.25">
      <c r="A71" s="1">
        <v>45170</v>
      </c>
      <c r="B71">
        <v>29395.435969999999</v>
      </c>
      <c r="C71">
        <v>203473.8854</v>
      </c>
      <c r="D71">
        <f t="shared" si="5"/>
        <v>111111.23579000001</v>
      </c>
      <c r="E71">
        <f t="shared" si="6"/>
        <v>800914.93320000009</v>
      </c>
      <c r="F71">
        <f t="shared" si="7"/>
        <v>13.873038344542129</v>
      </c>
      <c r="G71">
        <f t="shared" si="3"/>
        <v>14.150404244002836</v>
      </c>
      <c r="H71">
        <f t="shared" si="4"/>
        <v>-0.27736589946070644</v>
      </c>
    </row>
    <row r="72" spans="1:8" x14ac:dyDescent="0.25">
      <c r="A72" s="1">
        <v>45261</v>
      </c>
      <c r="B72">
        <v>27951.355279999902</v>
      </c>
      <c r="C72">
        <v>212953.65150000001</v>
      </c>
      <c r="D72">
        <f t="shared" si="5"/>
        <v>113093.4047099999</v>
      </c>
      <c r="E72">
        <f t="shared" si="6"/>
        <v>817413.42139999999</v>
      </c>
      <c r="F72">
        <f t="shared" si="7"/>
        <v>13.835520894225423</v>
      </c>
      <c r="G72">
        <f t="shared" si="3"/>
        <v>14.052673267467528</v>
      </c>
      <c r="H72">
        <f t="shared" si="4"/>
        <v>-0.21715237324210435</v>
      </c>
    </row>
    <row r="73" spans="1:8" x14ac:dyDescent="0.25">
      <c r="A73" s="1">
        <v>45352</v>
      </c>
      <c r="B73">
        <v>31226.88176</v>
      </c>
      <c r="C73">
        <v>214033.10399999999</v>
      </c>
      <c r="D73">
        <f t="shared" si="5"/>
        <v>115949.9141999999</v>
      </c>
      <c r="E73">
        <f t="shared" si="6"/>
        <v>830841.92760000005</v>
      </c>
      <c r="F73">
        <f t="shared" si="7"/>
        <v>13.955712915805416</v>
      </c>
      <c r="G73">
        <f t="shared" si="3"/>
        <v>13.957596818745024</v>
      </c>
      <c r="H73">
        <f t="shared" si="4"/>
        <v>-1.883902939608717E-3</v>
      </c>
    </row>
    <row r="74" spans="1:8" x14ac:dyDescent="0.25">
      <c r="A74" s="1">
        <v>45444</v>
      </c>
      <c r="B74">
        <v>30290.326649999999</v>
      </c>
      <c r="C74">
        <v>213508.29639999999</v>
      </c>
      <c r="D74">
        <f t="shared" si="5"/>
        <v>118863.9996599999</v>
      </c>
      <c r="E74">
        <f t="shared" si="6"/>
        <v>843968.93729999999</v>
      </c>
      <c r="F74">
        <f t="shared" si="7"/>
        <v>14.083930629042584</v>
      </c>
      <c r="G74">
        <f t="shared" ref="G74:G79" si="8">AVERAGE(F70:F73)</f>
        <v>13.913770140396119</v>
      </c>
      <c r="H74">
        <f t="shared" ref="H74:H79" si="9">F74-G74</f>
        <v>0.17016048864646471</v>
      </c>
    </row>
    <row r="75" spans="1:8" x14ac:dyDescent="0.25">
      <c r="A75" s="1">
        <v>45536</v>
      </c>
      <c r="B75">
        <v>31767.947800000002</v>
      </c>
      <c r="C75">
        <v>219181.96220000001</v>
      </c>
      <c r="D75">
        <f t="shared" si="5"/>
        <v>121236.51148999992</v>
      </c>
      <c r="E75">
        <f t="shared" si="6"/>
        <v>859677.01410000003</v>
      </c>
      <c r="F75">
        <f t="shared" si="7"/>
        <v>14.102565207809237</v>
      </c>
      <c r="G75">
        <f t="shared" si="8"/>
        <v>13.937050695903888</v>
      </c>
      <c r="H75">
        <f t="shared" si="9"/>
        <v>0.16551451190534827</v>
      </c>
    </row>
    <row r="76" spans="1:8" x14ac:dyDescent="0.25">
      <c r="A76" s="1">
        <v>45627</v>
      </c>
      <c r="B76">
        <v>27421.634389999999</v>
      </c>
      <c r="C76">
        <v>231539.9382</v>
      </c>
      <c r="D76">
        <f t="shared" si="5"/>
        <v>120706.79060000001</v>
      </c>
      <c r="E76">
        <f t="shared" si="6"/>
        <v>878263.30079999997</v>
      </c>
      <c r="F76">
        <f t="shared" si="7"/>
        <v>13.743804447942839</v>
      </c>
      <c r="G76">
        <f t="shared" si="8"/>
        <v>13.994432411720664</v>
      </c>
      <c r="H76">
        <f t="shared" si="9"/>
        <v>-0.25062796377782526</v>
      </c>
    </row>
    <row r="77" spans="1:8" x14ac:dyDescent="0.25">
      <c r="A77" s="1">
        <v>45717</v>
      </c>
      <c r="B77">
        <v>34099.610679999998</v>
      </c>
      <c r="C77">
        <v>231004.36369999999</v>
      </c>
      <c r="D77">
        <f t="shared" si="5"/>
        <v>123579.51951999999</v>
      </c>
      <c r="E77">
        <f t="shared" si="6"/>
        <v>895234.56050000002</v>
      </c>
      <c r="F77">
        <f t="shared" si="7"/>
        <v>13.804149769528474</v>
      </c>
      <c r="G77">
        <f t="shared" si="8"/>
        <v>13.971503300150019</v>
      </c>
      <c r="H77">
        <f t="shared" si="9"/>
        <v>-0.16735353062154523</v>
      </c>
    </row>
    <row r="78" spans="1:8" x14ac:dyDescent="0.25">
      <c r="A78" s="1">
        <v>45809</v>
      </c>
      <c r="B78">
        <v>32288.342259999899</v>
      </c>
      <c r="C78">
        <v>231094.42509999999</v>
      </c>
      <c r="D78">
        <f t="shared" si="5"/>
        <v>125577.5351299999</v>
      </c>
      <c r="E78">
        <f t="shared" si="6"/>
        <v>912820.68920000002</v>
      </c>
      <c r="F78">
        <f t="shared" si="7"/>
        <v>13.757086864459284</v>
      </c>
      <c r="G78">
        <f t="shared" si="8"/>
        <v>13.933612513580782</v>
      </c>
      <c r="H78">
        <f t="shared" si="9"/>
        <v>-0.17652564912149771</v>
      </c>
    </row>
    <row r="79" spans="1:8" x14ac:dyDescent="0.25">
      <c r="A79" s="1">
        <v>45901</v>
      </c>
      <c r="B79">
        <v>32957.461490000002</v>
      </c>
      <c r="C79">
        <v>234696.03409999999</v>
      </c>
      <c r="D79">
        <f t="shared" si="5"/>
        <v>126767.04881999989</v>
      </c>
      <c r="E79">
        <f t="shared" si="6"/>
        <v>928334.7611</v>
      </c>
      <c r="F79">
        <f t="shared" si="7"/>
        <v>13.655316393602607</v>
      </c>
      <c r="G79">
        <f t="shared" si="8"/>
        <v>13.851901572434958</v>
      </c>
      <c r="H79">
        <f t="shared" si="9"/>
        <v>-0.19658517883235049</v>
      </c>
    </row>
    <row r="80" spans="1:8" x14ac:dyDescent="0.25">
      <c r="A80" s="1">
        <v>45992</v>
      </c>
      <c r="B80">
        <v>30405.96616</v>
      </c>
      <c r="C80">
        <v>234696.03409999999</v>
      </c>
      <c r="D80">
        <f t="shared" ref="D80" si="10">SUM(B77:B80)</f>
        <v>129751.3805899999</v>
      </c>
      <c r="E80">
        <f t="shared" ref="E80" si="11">SUM(C77:C80)</f>
        <v>931490.85700000008</v>
      </c>
      <c r="F80">
        <f t="shared" ref="F80" si="12">(D80/E80)*100</f>
        <v>13.929431471596279</v>
      </c>
      <c r="G80">
        <f t="shared" ref="G80" si="13">AVERAGE(F76:F79)</f>
        <v>13.7400893688833</v>
      </c>
      <c r="H80">
        <f t="shared" ref="H80" si="14">F80-G80</f>
        <v>0.18934210271297935</v>
      </c>
    </row>
    <row r="81" spans="1:8" x14ac:dyDescent="0.25">
      <c r="A81" s="1">
        <v>46082</v>
      </c>
      <c r="B81">
        <v>36874.015180000002</v>
      </c>
      <c r="C81">
        <v>234696.03409999999</v>
      </c>
      <c r="D81">
        <f t="shared" ref="D81:D82" si="15">SUM(B78:B81)</f>
        <v>132525.7850899999</v>
      </c>
      <c r="E81">
        <f t="shared" ref="E81:E82" si="16">SUM(C78:C81)</f>
        <v>935182.52740000002</v>
      </c>
      <c r="F81">
        <f t="shared" ref="F81:F82" si="17">(D81/E81)*100</f>
        <v>14.171114323366249</v>
      </c>
      <c r="G81">
        <f t="shared" ref="G81:G82" si="18">AVERAGE(F77:F80)</f>
        <v>13.786496124796662</v>
      </c>
      <c r="H81">
        <f t="shared" ref="H81:H82" si="19">F81-G81</f>
        <v>0.38461819856958712</v>
      </c>
    </row>
    <row r="82" spans="1:8" x14ac:dyDescent="0.25">
      <c r="A82" s="1">
        <v>46174</v>
      </c>
      <c r="B82">
        <v>37944.29305</v>
      </c>
      <c r="C82">
        <v>234696.03409999999</v>
      </c>
      <c r="D82">
        <f t="shared" si="15"/>
        <v>138181.73587999999</v>
      </c>
      <c r="E82">
        <f t="shared" si="16"/>
        <v>938784.13639999996</v>
      </c>
      <c r="F82">
        <f t="shared" si="17"/>
        <v>14.719223570382436</v>
      </c>
      <c r="G82">
        <f t="shared" si="18"/>
        <v>13.878237263256105</v>
      </c>
      <c r="H82">
        <f t="shared" si="19"/>
        <v>0.8409863071263306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2"/>
  <sheetViews>
    <sheetView topLeftCell="A50" workbookViewId="0">
      <selection activeCell="F9" sqref="F9:F82"/>
    </sheetView>
  </sheetViews>
  <sheetFormatPr baseColWidth="10" defaultRowHeight="15" x14ac:dyDescent="0.25"/>
  <cols>
    <col min="4" max="4" width="11.85546875" bestFit="1" customWidth="1"/>
  </cols>
  <sheetData>
    <row r="1" spans="1:8" x14ac:dyDescent="0.25">
      <c r="A1" t="s">
        <v>0</v>
      </c>
      <c r="B1" t="s">
        <v>14</v>
      </c>
      <c r="C1" t="s">
        <v>5</v>
      </c>
      <c r="D1" t="str">
        <f>CONCATENATE(B1,"_MV")</f>
        <v>AIN_MV</v>
      </c>
      <c r="E1" t="s">
        <v>26</v>
      </c>
      <c r="F1" t="s">
        <v>22</v>
      </c>
      <c r="G1" t="s">
        <v>23</v>
      </c>
      <c r="H1" t="s">
        <v>24</v>
      </c>
    </row>
    <row r="2" spans="1:8" x14ac:dyDescent="0.25">
      <c r="A2" s="1">
        <v>38869</v>
      </c>
      <c r="B2">
        <v>-10550.9</v>
      </c>
      <c r="C2">
        <v>56810.3</v>
      </c>
    </row>
    <row r="3" spans="1:8" x14ac:dyDescent="0.25">
      <c r="A3" s="1">
        <v>38961</v>
      </c>
      <c r="B3">
        <v>-9798.8333330000005</v>
      </c>
      <c r="C3">
        <v>58936.3</v>
      </c>
    </row>
    <row r="4" spans="1:8" x14ac:dyDescent="0.25">
      <c r="A4" s="1">
        <v>39052</v>
      </c>
      <c r="B4">
        <v>-9171.5333329999994</v>
      </c>
      <c r="C4">
        <v>62174.3</v>
      </c>
    </row>
    <row r="5" spans="1:8" x14ac:dyDescent="0.25">
      <c r="A5" s="1">
        <v>39142</v>
      </c>
      <c r="B5">
        <v>-8398.1</v>
      </c>
      <c r="C5">
        <v>67591.7</v>
      </c>
      <c r="D5">
        <f>AVERAGE(B2:B5)</f>
        <v>-9479.8416665000004</v>
      </c>
      <c r="E5">
        <f>SUM(C2:C5)</f>
        <v>245512.60000000003</v>
      </c>
      <c r="F5">
        <f>(D5/E5)*100</f>
        <v>-3.8612444601621254</v>
      </c>
    </row>
    <row r="6" spans="1:8" x14ac:dyDescent="0.25">
      <c r="A6" s="1">
        <v>39234</v>
      </c>
      <c r="B6">
        <v>-10892.366669999999</v>
      </c>
      <c r="C6">
        <v>64074.5</v>
      </c>
      <c r="D6">
        <f t="shared" ref="D6:D69" si="0">AVERAGE(B3:B6)</f>
        <v>-9565.208333999999</v>
      </c>
      <c r="E6">
        <f t="shared" ref="E6:E69" si="1">SUM(C3:C6)</f>
        <v>252776.8</v>
      </c>
      <c r="F6">
        <f t="shared" ref="F6:F69" si="2">(D6/E6)*100</f>
        <v>-3.7840530990185806</v>
      </c>
    </row>
    <row r="7" spans="1:8" x14ac:dyDescent="0.25">
      <c r="A7" s="1">
        <v>39326</v>
      </c>
      <c r="B7">
        <v>-10316.06667</v>
      </c>
      <c r="C7">
        <v>66701.7</v>
      </c>
      <c r="D7">
        <f t="shared" si="0"/>
        <v>-9694.5166682499985</v>
      </c>
      <c r="E7">
        <f t="shared" si="1"/>
        <v>260542.2</v>
      </c>
      <c r="F7">
        <f t="shared" si="2"/>
        <v>-3.7209007478443024</v>
      </c>
    </row>
    <row r="8" spans="1:8" x14ac:dyDescent="0.25">
      <c r="A8" s="1">
        <v>39417</v>
      </c>
      <c r="B8">
        <v>-10374.6</v>
      </c>
      <c r="C8">
        <v>70455.899999999994</v>
      </c>
      <c r="D8">
        <f t="shared" si="0"/>
        <v>-9995.2833350000001</v>
      </c>
      <c r="E8">
        <f t="shared" si="1"/>
        <v>268823.80000000005</v>
      </c>
      <c r="F8">
        <f t="shared" si="2"/>
        <v>-3.7181541719892355</v>
      </c>
    </row>
    <row r="9" spans="1:8" x14ac:dyDescent="0.25">
      <c r="A9" s="1">
        <v>39508</v>
      </c>
      <c r="B9">
        <v>-9780.5</v>
      </c>
      <c r="C9">
        <v>75225.8</v>
      </c>
      <c r="D9">
        <f t="shared" si="0"/>
        <v>-10340.883335</v>
      </c>
      <c r="E9">
        <f t="shared" si="1"/>
        <v>276457.89999999997</v>
      </c>
      <c r="F9">
        <f t="shared" si="2"/>
        <v>-3.7404911688181102</v>
      </c>
      <c r="G9">
        <f>AVERAGE(F5:F8)</f>
        <v>-3.7710881197535611</v>
      </c>
      <c r="H9">
        <f>F9-G9</f>
        <v>3.0596950935450895E-2</v>
      </c>
    </row>
    <row r="10" spans="1:8" x14ac:dyDescent="0.25">
      <c r="A10" s="1">
        <v>39600</v>
      </c>
      <c r="B10">
        <v>-12134.266670000001</v>
      </c>
      <c r="C10">
        <v>74565.100000000006</v>
      </c>
      <c r="D10">
        <f t="shared" si="0"/>
        <v>-10651.358335000001</v>
      </c>
      <c r="E10">
        <f t="shared" si="1"/>
        <v>286948.5</v>
      </c>
      <c r="F10">
        <f t="shared" si="2"/>
        <v>-3.7119407611470354</v>
      </c>
      <c r="G10">
        <f t="shared" ref="G10:G73" si="3">AVERAGE(F6:F9)</f>
        <v>-3.740899796917557</v>
      </c>
      <c r="H10">
        <f t="shared" ref="H10:H73" si="4">F10-G10</f>
        <v>2.8959035770521613E-2</v>
      </c>
    </row>
    <row r="11" spans="1:8" x14ac:dyDescent="0.25">
      <c r="A11" s="1">
        <v>39692</v>
      </c>
      <c r="B11">
        <v>-11602.666670000001</v>
      </c>
      <c r="C11">
        <v>75672.5</v>
      </c>
      <c r="D11">
        <f t="shared" si="0"/>
        <v>-10973.008335</v>
      </c>
      <c r="E11">
        <f t="shared" si="1"/>
        <v>295919.30000000005</v>
      </c>
      <c r="F11">
        <f t="shared" si="2"/>
        <v>-3.7081083710998235</v>
      </c>
      <c r="G11">
        <f t="shared" si="3"/>
        <v>-3.7228717124496709</v>
      </c>
      <c r="H11">
        <f t="shared" si="4"/>
        <v>1.4763341349847359E-2</v>
      </c>
    </row>
    <row r="12" spans="1:8" x14ac:dyDescent="0.25">
      <c r="A12" s="1">
        <v>39783</v>
      </c>
      <c r="B12">
        <v>-9850.7333330000001</v>
      </c>
      <c r="C12">
        <v>78865.899999999994</v>
      </c>
      <c r="D12">
        <f t="shared" si="0"/>
        <v>-10842.04166825</v>
      </c>
      <c r="E12">
        <f t="shared" si="1"/>
        <v>304329.30000000005</v>
      </c>
      <c r="F12">
        <f t="shared" si="2"/>
        <v>-3.5626019802398252</v>
      </c>
      <c r="G12">
        <f t="shared" si="3"/>
        <v>-3.7196736182635513</v>
      </c>
      <c r="H12">
        <f t="shared" si="4"/>
        <v>0.15707163802372603</v>
      </c>
    </row>
    <row r="13" spans="1:8" x14ac:dyDescent="0.25">
      <c r="A13" s="1">
        <v>39873</v>
      </c>
      <c r="B13">
        <v>-8937.5333329999994</v>
      </c>
      <c r="C13">
        <v>78253.3</v>
      </c>
      <c r="D13">
        <f t="shared" si="0"/>
        <v>-10631.3000015</v>
      </c>
      <c r="E13">
        <f t="shared" si="1"/>
        <v>307356.79999999999</v>
      </c>
      <c r="F13">
        <f t="shared" si="2"/>
        <v>-3.4589441331703088</v>
      </c>
      <c r="G13">
        <f t="shared" si="3"/>
        <v>-3.6807855703261989</v>
      </c>
      <c r="H13">
        <f t="shared" si="4"/>
        <v>0.22184143715589011</v>
      </c>
    </row>
    <row r="14" spans="1:8" x14ac:dyDescent="0.25">
      <c r="A14" s="1">
        <v>39965</v>
      </c>
      <c r="B14">
        <v>-9512.9</v>
      </c>
      <c r="C14">
        <v>74997.8</v>
      </c>
      <c r="D14">
        <f t="shared" si="0"/>
        <v>-9975.9583340000008</v>
      </c>
      <c r="E14">
        <f t="shared" si="1"/>
        <v>307789.5</v>
      </c>
      <c r="F14">
        <f t="shared" si="2"/>
        <v>-3.241162656295943</v>
      </c>
      <c r="G14">
        <f t="shared" si="3"/>
        <v>-3.6103988114142487</v>
      </c>
      <c r="H14">
        <f t="shared" si="4"/>
        <v>0.36923615511830565</v>
      </c>
    </row>
    <row r="15" spans="1:8" x14ac:dyDescent="0.25">
      <c r="A15" s="1">
        <v>40057</v>
      </c>
      <c r="B15">
        <v>-8309.7000000000007</v>
      </c>
      <c r="C15">
        <v>76667.600000000006</v>
      </c>
      <c r="D15">
        <f t="shared" si="0"/>
        <v>-9152.7166665000004</v>
      </c>
      <c r="E15">
        <f t="shared" si="1"/>
        <v>308784.59999999998</v>
      </c>
      <c r="F15">
        <f t="shared" si="2"/>
        <v>-2.9641104726401513</v>
      </c>
      <c r="G15">
        <f t="shared" si="3"/>
        <v>-3.4927042852014751</v>
      </c>
      <c r="H15">
        <f t="shared" si="4"/>
        <v>0.52859381256132387</v>
      </c>
    </row>
    <row r="16" spans="1:8" x14ac:dyDescent="0.25">
      <c r="A16" s="1">
        <v>40148</v>
      </c>
      <c r="B16">
        <v>-6948.6666670000004</v>
      </c>
      <c r="C16">
        <v>80066.899999999994</v>
      </c>
      <c r="D16">
        <f t="shared" si="0"/>
        <v>-8427.2000000000007</v>
      </c>
      <c r="E16">
        <f t="shared" si="1"/>
        <v>309985.59999999998</v>
      </c>
      <c r="F16">
        <f t="shared" si="2"/>
        <v>-2.7185778952312627</v>
      </c>
      <c r="G16">
        <f t="shared" si="3"/>
        <v>-3.3067048105865569</v>
      </c>
      <c r="H16">
        <f t="shared" si="4"/>
        <v>0.58812691535529416</v>
      </c>
    </row>
    <row r="17" spans="1:8" x14ac:dyDescent="0.25">
      <c r="A17" s="1">
        <v>40238</v>
      </c>
      <c r="B17">
        <v>-7032.9666669999997</v>
      </c>
      <c r="C17">
        <v>83764.100000000006</v>
      </c>
      <c r="D17">
        <f t="shared" si="0"/>
        <v>-7951.0583335000001</v>
      </c>
      <c r="E17">
        <f t="shared" si="1"/>
        <v>315496.40000000002</v>
      </c>
      <c r="F17">
        <f t="shared" si="2"/>
        <v>-2.5201740284516716</v>
      </c>
      <c r="G17">
        <f t="shared" si="3"/>
        <v>-3.0956987893344166</v>
      </c>
      <c r="H17">
        <f t="shared" si="4"/>
        <v>0.57552476088274496</v>
      </c>
    </row>
    <row r="18" spans="1:8" x14ac:dyDescent="0.25">
      <c r="A18" s="1">
        <v>40330</v>
      </c>
      <c r="B18">
        <v>-6973.5666670000001</v>
      </c>
      <c r="C18">
        <v>80946.3</v>
      </c>
      <c r="D18">
        <f t="shared" si="0"/>
        <v>-7316.2250002500004</v>
      </c>
      <c r="E18">
        <f t="shared" si="1"/>
        <v>321444.90000000002</v>
      </c>
      <c r="F18">
        <f t="shared" si="2"/>
        <v>-2.2760432659687555</v>
      </c>
      <c r="G18">
        <f t="shared" si="3"/>
        <v>-2.8610062631547573</v>
      </c>
      <c r="H18">
        <f t="shared" si="4"/>
        <v>0.58496299718600175</v>
      </c>
    </row>
    <row r="19" spans="1:8" x14ac:dyDescent="0.25">
      <c r="A19" s="1">
        <v>40422</v>
      </c>
      <c r="B19">
        <v>-8004.3666670000002</v>
      </c>
      <c r="C19">
        <v>82168.100000000006</v>
      </c>
      <c r="D19">
        <f t="shared" si="0"/>
        <v>-7239.8916669999999</v>
      </c>
      <c r="E19">
        <f t="shared" si="1"/>
        <v>326945.40000000002</v>
      </c>
      <c r="F19">
        <f t="shared" si="2"/>
        <v>-2.2144038934329706</v>
      </c>
      <c r="G19">
        <f t="shared" si="3"/>
        <v>-2.6197264155729605</v>
      </c>
      <c r="H19">
        <f t="shared" si="4"/>
        <v>0.40532252213998987</v>
      </c>
    </row>
    <row r="20" spans="1:8" x14ac:dyDescent="0.25">
      <c r="A20" s="1">
        <v>40513</v>
      </c>
      <c r="B20">
        <v>-7013.5333330000003</v>
      </c>
      <c r="C20">
        <v>87555.7</v>
      </c>
      <c r="D20">
        <f t="shared" si="0"/>
        <v>-7256.1083335000003</v>
      </c>
      <c r="E20">
        <f t="shared" si="1"/>
        <v>334434.2</v>
      </c>
      <c r="F20">
        <f t="shared" si="2"/>
        <v>-2.169666957954659</v>
      </c>
      <c r="G20">
        <f t="shared" si="3"/>
        <v>-2.4322997707711651</v>
      </c>
      <c r="H20">
        <f t="shared" si="4"/>
        <v>0.26263281281650608</v>
      </c>
    </row>
    <row r="21" spans="1:8" x14ac:dyDescent="0.25">
      <c r="A21" s="1">
        <v>40603</v>
      </c>
      <c r="B21">
        <v>-6599.4666669999997</v>
      </c>
      <c r="C21">
        <v>91460.7</v>
      </c>
      <c r="D21">
        <f t="shared" si="0"/>
        <v>-7147.7333335000003</v>
      </c>
      <c r="E21">
        <f t="shared" si="1"/>
        <v>342130.80000000005</v>
      </c>
      <c r="F21">
        <f t="shared" si="2"/>
        <v>-2.0891814865834935</v>
      </c>
      <c r="G21">
        <f t="shared" si="3"/>
        <v>-2.2950720364520141</v>
      </c>
      <c r="H21">
        <f t="shared" si="4"/>
        <v>0.20589054986852062</v>
      </c>
    </row>
    <row r="22" spans="1:8" x14ac:dyDescent="0.25">
      <c r="A22" s="1">
        <v>40695</v>
      </c>
      <c r="B22">
        <v>-7615.9333329999999</v>
      </c>
      <c r="C22">
        <v>89623.1</v>
      </c>
      <c r="D22">
        <f t="shared" si="0"/>
        <v>-7308.3250000000007</v>
      </c>
      <c r="E22">
        <f t="shared" si="1"/>
        <v>350807.6</v>
      </c>
      <c r="F22">
        <f t="shared" si="2"/>
        <v>-2.0832858239103147</v>
      </c>
      <c r="G22">
        <f t="shared" si="3"/>
        <v>-2.1873239009849694</v>
      </c>
      <c r="H22">
        <f t="shared" si="4"/>
        <v>0.10403807707465473</v>
      </c>
    </row>
    <row r="23" spans="1:8" x14ac:dyDescent="0.25">
      <c r="A23" s="1">
        <v>40787</v>
      </c>
      <c r="B23">
        <v>-7073.3</v>
      </c>
      <c r="C23">
        <v>92060.3</v>
      </c>
      <c r="D23">
        <f t="shared" si="0"/>
        <v>-7075.55833325</v>
      </c>
      <c r="E23">
        <f t="shared" si="1"/>
        <v>360699.8</v>
      </c>
      <c r="F23">
        <f t="shared" si="2"/>
        <v>-1.961619699608927</v>
      </c>
      <c r="G23">
        <f t="shared" si="3"/>
        <v>-2.1391345404703594</v>
      </c>
      <c r="H23">
        <f t="shared" si="4"/>
        <v>0.17751484086143243</v>
      </c>
    </row>
    <row r="24" spans="1:8" x14ac:dyDescent="0.25">
      <c r="A24" s="1">
        <v>40878</v>
      </c>
      <c r="B24">
        <v>-8136.8333329999996</v>
      </c>
      <c r="C24">
        <v>96206</v>
      </c>
      <c r="D24">
        <f t="shared" si="0"/>
        <v>-7356.3833332499999</v>
      </c>
      <c r="E24">
        <f t="shared" si="1"/>
        <v>369350.1</v>
      </c>
      <c r="F24">
        <f t="shared" si="2"/>
        <v>-1.991710123606302</v>
      </c>
      <c r="G24">
        <f t="shared" si="3"/>
        <v>-2.0759384920143482</v>
      </c>
      <c r="H24">
        <f t="shared" si="4"/>
        <v>8.4228368408046261E-2</v>
      </c>
    </row>
    <row r="25" spans="1:8" x14ac:dyDescent="0.25">
      <c r="A25" s="1">
        <v>40969</v>
      </c>
      <c r="B25">
        <v>-5075.9333329999999</v>
      </c>
      <c r="C25">
        <v>98146.8</v>
      </c>
      <c r="D25">
        <f t="shared" si="0"/>
        <v>-6975.4999997499999</v>
      </c>
      <c r="E25">
        <f t="shared" si="1"/>
        <v>376036.2</v>
      </c>
      <c r="F25">
        <f t="shared" si="2"/>
        <v>-1.8550075763317468</v>
      </c>
      <c r="G25">
        <f t="shared" si="3"/>
        <v>-2.0314492834272593</v>
      </c>
      <c r="H25">
        <f t="shared" si="4"/>
        <v>0.17644170709551243</v>
      </c>
    </row>
    <row r="26" spans="1:8" x14ac:dyDescent="0.25">
      <c r="A26" s="1">
        <v>41061</v>
      </c>
      <c r="B26">
        <v>-9155.0666669999991</v>
      </c>
      <c r="C26">
        <v>95001.2</v>
      </c>
      <c r="D26">
        <f t="shared" si="0"/>
        <v>-7360.2833332499995</v>
      </c>
      <c r="E26">
        <f t="shared" si="1"/>
        <v>381414.3</v>
      </c>
      <c r="F26">
        <f t="shared" si="2"/>
        <v>-1.929734499532398</v>
      </c>
      <c r="G26">
        <f t="shared" si="3"/>
        <v>-1.9729058058643227</v>
      </c>
      <c r="H26">
        <f t="shared" si="4"/>
        <v>4.3171306331924786E-2</v>
      </c>
    </row>
    <row r="27" spans="1:8" x14ac:dyDescent="0.25">
      <c r="A27" s="1">
        <v>41153</v>
      </c>
      <c r="B27">
        <v>-9929.1666669999995</v>
      </c>
      <c r="C27">
        <v>95942.2</v>
      </c>
      <c r="D27">
        <f t="shared" si="0"/>
        <v>-8074.25</v>
      </c>
      <c r="E27">
        <f t="shared" si="1"/>
        <v>385296.2</v>
      </c>
      <c r="F27">
        <f t="shared" si="2"/>
        <v>-2.0955955444149201</v>
      </c>
      <c r="G27">
        <f t="shared" si="3"/>
        <v>-1.9345179747698436</v>
      </c>
      <c r="H27">
        <f t="shared" si="4"/>
        <v>-0.16107756964507658</v>
      </c>
    </row>
    <row r="28" spans="1:8" x14ac:dyDescent="0.25">
      <c r="A28" s="1">
        <v>41244</v>
      </c>
      <c r="B28">
        <v>-6487.7333330000001</v>
      </c>
      <c r="C28">
        <v>101835.8</v>
      </c>
      <c r="D28">
        <f t="shared" si="0"/>
        <v>-7661.9749999999995</v>
      </c>
      <c r="E28">
        <f t="shared" si="1"/>
        <v>390926</v>
      </c>
      <c r="F28">
        <f t="shared" si="2"/>
        <v>-1.9599553368156633</v>
      </c>
      <c r="G28">
        <f t="shared" si="3"/>
        <v>-1.9680119359713415</v>
      </c>
      <c r="H28">
        <f t="shared" si="4"/>
        <v>8.0565991556782457E-3</v>
      </c>
    </row>
    <row r="29" spans="1:8" x14ac:dyDescent="0.25">
      <c r="A29" s="1">
        <v>41334</v>
      </c>
      <c r="B29">
        <v>-9203.1333329999998</v>
      </c>
      <c r="C29">
        <v>103834.56359999999</v>
      </c>
      <c r="D29">
        <f t="shared" si="0"/>
        <v>-8693.7749999999996</v>
      </c>
      <c r="E29">
        <f t="shared" si="1"/>
        <v>396613.76360000001</v>
      </c>
      <c r="F29">
        <f t="shared" si="2"/>
        <v>-2.1920003282508373</v>
      </c>
      <c r="G29">
        <f t="shared" si="3"/>
        <v>-1.9600732392736819</v>
      </c>
      <c r="H29">
        <f t="shared" si="4"/>
        <v>-0.23192708897715542</v>
      </c>
    </row>
    <row r="30" spans="1:8" x14ac:dyDescent="0.25">
      <c r="A30" s="1">
        <v>41426</v>
      </c>
      <c r="B30">
        <v>-9848.9333330000009</v>
      </c>
      <c r="C30">
        <v>102176.59020000001</v>
      </c>
      <c r="D30">
        <f t="shared" si="0"/>
        <v>-8867.2416665000001</v>
      </c>
      <c r="E30">
        <f t="shared" si="1"/>
        <v>403789.15379999997</v>
      </c>
      <c r="F30">
        <f t="shared" si="2"/>
        <v>-2.1960078875451954</v>
      </c>
      <c r="G30">
        <f t="shared" si="3"/>
        <v>-2.0443214272534549</v>
      </c>
      <c r="H30">
        <f t="shared" si="4"/>
        <v>-0.15168646029174049</v>
      </c>
    </row>
    <row r="31" spans="1:8" x14ac:dyDescent="0.25">
      <c r="A31" s="1">
        <v>41518</v>
      </c>
      <c r="B31">
        <v>-5130.3</v>
      </c>
      <c r="C31">
        <v>102217.26420000001</v>
      </c>
      <c r="D31">
        <f t="shared" si="0"/>
        <v>-7667.5249997500005</v>
      </c>
      <c r="E31">
        <f t="shared" si="1"/>
        <v>410064.21799999999</v>
      </c>
      <c r="F31">
        <f t="shared" si="2"/>
        <v>-1.8698351778037852</v>
      </c>
      <c r="G31">
        <f t="shared" si="3"/>
        <v>-2.1108897742566541</v>
      </c>
      <c r="H31">
        <f t="shared" si="4"/>
        <v>0.24105459645286897</v>
      </c>
    </row>
    <row r="32" spans="1:8" x14ac:dyDescent="0.25">
      <c r="A32" s="1">
        <v>41609</v>
      </c>
      <c r="B32">
        <v>-5034.6333329999998</v>
      </c>
      <c r="C32">
        <v>108154.8023</v>
      </c>
      <c r="D32">
        <f t="shared" si="0"/>
        <v>-7304.2499997499999</v>
      </c>
      <c r="E32">
        <f t="shared" si="1"/>
        <v>416383.22029999999</v>
      </c>
      <c r="F32">
        <f t="shared" si="2"/>
        <v>-1.7542133408948037</v>
      </c>
      <c r="G32">
        <f t="shared" si="3"/>
        <v>-2.0544496826038703</v>
      </c>
      <c r="H32">
        <f t="shared" si="4"/>
        <v>0.30023634170906655</v>
      </c>
    </row>
    <row r="33" spans="1:8" x14ac:dyDescent="0.25">
      <c r="A33" s="1">
        <v>41699</v>
      </c>
      <c r="B33">
        <v>-3946.7666669999999</v>
      </c>
      <c r="C33">
        <v>109523.7172</v>
      </c>
      <c r="D33">
        <f t="shared" si="0"/>
        <v>-5990.1583332500004</v>
      </c>
      <c r="E33">
        <f t="shared" si="1"/>
        <v>422072.37390000001</v>
      </c>
      <c r="F33">
        <f t="shared" si="2"/>
        <v>-1.4192253991656003</v>
      </c>
      <c r="G33">
        <f t="shared" si="3"/>
        <v>-2.0030141836236552</v>
      </c>
      <c r="H33">
        <f t="shared" si="4"/>
        <v>0.58378878445805493</v>
      </c>
    </row>
    <row r="34" spans="1:8" x14ac:dyDescent="0.25">
      <c r="A34" s="1">
        <v>41791</v>
      </c>
      <c r="B34">
        <v>-7307.7333330000001</v>
      </c>
      <c r="C34">
        <v>109403.59239999999</v>
      </c>
      <c r="D34">
        <f t="shared" si="0"/>
        <v>-5354.8583332500002</v>
      </c>
      <c r="E34">
        <f t="shared" si="1"/>
        <v>429299.37609999999</v>
      </c>
      <c r="F34">
        <f t="shared" si="2"/>
        <v>-1.2473482682170616</v>
      </c>
      <c r="G34">
        <f t="shared" si="3"/>
        <v>-1.8098204513523461</v>
      </c>
      <c r="H34">
        <f t="shared" si="4"/>
        <v>0.56247218313528458</v>
      </c>
    </row>
    <row r="35" spans="1:8" x14ac:dyDescent="0.25">
      <c r="A35" s="1">
        <v>41883</v>
      </c>
      <c r="B35">
        <v>-4229</v>
      </c>
      <c r="C35">
        <v>111334.2455</v>
      </c>
      <c r="D35">
        <f t="shared" si="0"/>
        <v>-5129.5333332499995</v>
      </c>
      <c r="E35">
        <f t="shared" si="1"/>
        <v>438416.35740000004</v>
      </c>
      <c r="F35">
        <f t="shared" si="2"/>
        <v>-1.1700141307843455</v>
      </c>
      <c r="G35">
        <f t="shared" si="3"/>
        <v>-1.5726555465203127</v>
      </c>
      <c r="H35">
        <f t="shared" si="4"/>
        <v>0.40264141573596723</v>
      </c>
    </row>
    <row r="36" spans="1:8" x14ac:dyDescent="0.25">
      <c r="A36" s="1">
        <v>41974</v>
      </c>
      <c r="B36">
        <v>-3260.5333329999999</v>
      </c>
      <c r="C36">
        <v>117064.7711</v>
      </c>
      <c r="D36">
        <f t="shared" si="0"/>
        <v>-4686.0083332499999</v>
      </c>
      <c r="E36">
        <f t="shared" si="1"/>
        <v>447326.32620000001</v>
      </c>
      <c r="F36">
        <f t="shared" si="2"/>
        <v>-1.0475592556908626</v>
      </c>
      <c r="G36">
        <f t="shared" si="3"/>
        <v>-1.3977002847654527</v>
      </c>
      <c r="H36">
        <f t="shared" si="4"/>
        <v>0.3501410290745901</v>
      </c>
    </row>
    <row r="37" spans="1:8" x14ac:dyDescent="0.25">
      <c r="A37" s="1">
        <v>42064</v>
      </c>
      <c r="B37">
        <v>-5903.7666669999999</v>
      </c>
      <c r="C37">
        <v>117897.27529999999</v>
      </c>
      <c r="D37">
        <f t="shared" si="0"/>
        <v>-5175.2583332499999</v>
      </c>
      <c r="E37">
        <f t="shared" si="1"/>
        <v>455699.88429999998</v>
      </c>
      <c r="F37">
        <f t="shared" si="2"/>
        <v>-1.1356725142030062</v>
      </c>
      <c r="G37">
        <f t="shared" si="3"/>
        <v>-1.2210367634644674</v>
      </c>
      <c r="H37">
        <f t="shared" si="4"/>
        <v>8.5364249261461245E-2</v>
      </c>
    </row>
    <row r="38" spans="1:8" x14ac:dyDescent="0.25">
      <c r="A38" s="1">
        <v>42156</v>
      </c>
      <c r="B38">
        <v>-6957.5</v>
      </c>
      <c r="C38">
        <v>116183.442</v>
      </c>
      <c r="D38">
        <f t="shared" si="0"/>
        <v>-5087.7</v>
      </c>
      <c r="E38">
        <f t="shared" si="1"/>
        <v>462479.73389999999</v>
      </c>
      <c r="F38">
        <f t="shared" si="2"/>
        <v>-1.1000914477044073</v>
      </c>
      <c r="G38">
        <f t="shared" si="3"/>
        <v>-1.1501485422238189</v>
      </c>
      <c r="H38">
        <f t="shared" si="4"/>
        <v>5.0057094519411649E-2</v>
      </c>
    </row>
    <row r="39" spans="1:8" x14ac:dyDescent="0.25">
      <c r="A39" s="1">
        <v>42248</v>
      </c>
      <c r="B39">
        <v>-4565.5</v>
      </c>
      <c r="C39">
        <v>118716.5307</v>
      </c>
      <c r="D39">
        <f t="shared" si="0"/>
        <v>-5171.8249999999998</v>
      </c>
      <c r="E39">
        <f t="shared" si="1"/>
        <v>469862.01909999998</v>
      </c>
      <c r="F39">
        <f t="shared" si="2"/>
        <v>-1.1007114407558207</v>
      </c>
      <c r="G39">
        <f t="shared" si="3"/>
        <v>-1.1133343370956554</v>
      </c>
      <c r="H39">
        <f t="shared" si="4"/>
        <v>1.262289633983471E-2</v>
      </c>
    </row>
    <row r="40" spans="1:8" x14ac:dyDescent="0.25">
      <c r="A40" s="1">
        <v>42339</v>
      </c>
      <c r="B40">
        <v>-4307.3333329999996</v>
      </c>
      <c r="C40">
        <v>123225.5732</v>
      </c>
      <c r="D40">
        <f t="shared" si="0"/>
        <v>-5433.5249999999996</v>
      </c>
      <c r="E40">
        <f t="shared" si="1"/>
        <v>476022.82120000001</v>
      </c>
      <c r="F40">
        <f t="shared" si="2"/>
        <v>-1.1414421237836232</v>
      </c>
      <c r="G40">
        <f t="shared" si="3"/>
        <v>-1.0960086645885241</v>
      </c>
      <c r="H40">
        <f t="shared" si="4"/>
        <v>-4.5433459195099113E-2</v>
      </c>
    </row>
    <row r="41" spans="1:8" x14ac:dyDescent="0.25">
      <c r="A41" s="1">
        <v>42430</v>
      </c>
      <c r="B41">
        <v>-4615.2</v>
      </c>
      <c r="C41">
        <v>123838.5435</v>
      </c>
      <c r="D41">
        <f t="shared" si="0"/>
        <v>-5111.3833332499999</v>
      </c>
      <c r="E41">
        <f t="shared" si="1"/>
        <v>481964.08939999994</v>
      </c>
      <c r="F41">
        <f t="shared" si="2"/>
        <v>-1.0605319868567786</v>
      </c>
      <c r="G41">
        <f t="shared" si="3"/>
        <v>-1.1194793816117143</v>
      </c>
      <c r="H41">
        <f t="shared" si="4"/>
        <v>5.8947394754935711E-2</v>
      </c>
    </row>
    <row r="42" spans="1:8" x14ac:dyDescent="0.25">
      <c r="A42" s="1">
        <v>42522</v>
      </c>
      <c r="B42">
        <v>-8378.7666669999999</v>
      </c>
      <c r="C42">
        <v>122799.36689999999</v>
      </c>
      <c r="D42">
        <f t="shared" si="0"/>
        <v>-5466.7</v>
      </c>
      <c r="E42">
        <f t="shared" si="1"/>
        <v>488580.01430000004</v>
      </c>
      <c r="F42">
        <f t="shared" si="2"/>
        <v>-1.1188955421830482</v>
      </c>
      <c r="G42">
        <f t="shared" si="3"/>
        <v>-1.1006942497751575</v>
      </c>
      <c r="H42">
        <f t="shared" si="4"/>
        <v>-1.8201292407890701E-2</v>
      </c>
    </row>
    <row r="43" spans="1:8" x14ac:dyDescent="0.25">
      <c r="A43" s="1">
        <v>42614</v>
      </c>
      <c r="B43">
        <v>-8681.4333330000009</v>
      </c>
      <c r="C43">
        <v>124518.04949999999</v>
      </c>
      <c r="D43">
        <f t="shared" si="0"/>
        <v>-6495.68333325</v>
      </c>
      <c r="E43">
        <f t="shared" si="1"/>
        <v>494381.5331</v>
      </c>
      <c r="F43">
        <f t="shared" si="2"/>
        <v>-1.3139008839021702</v>
      </c>
      <c r="G43">
        <f t="shared" si="3"/>
        <v>-1.1053952733948176</v>
      </c>
      <c r="H43">
        <f t="shared" si="4"/>
        <v>-0.20850561050735261</v>
      </c>
    </row>
    <row r="44" spans="1:8" x14ac:dyDescent="0.25">
      <c r="A44" s="1">
        <v>42705</v>
      </c>
      <c r="B44">
        <v>-7924.1333329999998</v>
      </c>
      <c r="C44">
        <v>130845.7444</v>
      </c>
      <c r="D44">
        <f t="shared" si="0"/>
        <v>-7399.8833332499999</v>
      </c>
      <c r="E44">
        <f t="shared" si="1"/>
        <v>502001.70429999998</v>
      </c>
      <c r="F44">
        <f t="shared" si="2"/>
        <v>-1.4740753407537783</v>
      </c>
      <c r="G44">
        <f t="shared" si="3"/>
        <v>-1.158692634181405</v>
      </c>
      <c r="H44">
        <f t="shared" si="4"/>
        <v>-0.31538270657237333</v>
      </c>
    </row>
    <row r="45" spans="1:8" x14ac:dyDescent="0.25">
      <c r="A45" s="1">
        <v>42795</v>
      </c>
      <c r="B45">
        <v>-8016.4</v>
      </c>
      <c r="C45">
        <v>131682.7084</v>
      </c>
      <c r="D45">
        <f t="shared" si="0"/>
        <v>-8250.1833332500009</v>
      </c>
      <c r="E45">
        <f t="shared" si="1"/>
        <v>509845.86919999996</v>
      </c>
      <c r="F45">
        <f t="shared" si="2"/>
        <v>-1.6181720460333195</v>
      </c>
      <c r="G45">
        <f t="shared" si="3"/>
        <v>-1.2418509384239438</v>
      </c>
      <c r="H45">
        <f t="shared" si="4"/>
        <v>-0.37632110760937576</v>
      </c>
    </row>
    <row r="46" spans="1:8" x14ac:dyDescent="0.25">
      <c r="A46" s="1">
        <v>42887</v>
      </c>
      <c r="B46">
        <v>-11061.2</v>
      </c>
      <c r="C46">
        <v>127650.414</v>
      </c>
      <c r="D46">
        <f t="shared" si="0"/>
        <v>-8920.7916665000012</v>
      </c>
      <c r="E46">
        <f t="shared" si="1"/>
        <v>514696.91629999998</v>
      </c>
      <c r="F46">
        <f t="shared" si="2"/>
        <v>-1.733212573067052</v>
      </c>
      <c r="G46">
        <f t="shared" si="3"/>
        <v>-1.3812609532180791</v>
      </c>
      <c r="H46">
        <f t="shared" si="4"/>
        <v>-0.35195161984897294</v>
      </c>
    </row>
    <row r="47" spans="1:8" x14ac:dyDescent="0.25">
      <c r="A47" s="1">
        <v>42979</v>
      </c>
      <c r="B47">
        <v>-13291.866669999999</v>
      </c>
      <c r="C47">
        <v>130291.6691</v>
      </c>
      <c r="D47">
        <f t="shared" si="0"/>
        <v>-10073.40000075</v>
      </c>
      <c r="E47">
        <f t="shared" si="1"/>
        <v>520470.53589999996</v>
      </c>
      <c r="F47">
        <f t="shared" si="2"/>
        <v>-1.9354409723368937</v>
      </c>
      <c r="G47">
        <f t="shared" si="3"/>
        <v>-1.53484021093908</v>
      </c>
      <c r="H47">
        <f t="shared" si="4"/>
        <v>-0.40060076139781375</v>
      </c>
    </row>
    <row r="48" spans="1:8" x14ac:dyDescent="0.25">
      <c r="A48" s="1">
        <v>43070</v>
      </c>
      <c r="B48">
        <v>-11374.46667</v>
      </c>
      <c r="C48">
        <v>136882.62280000001</v>
      </c>
      <c r="D48">
        <f t="shared" si="0"/>
        <v>-10935.983334999999</v>
      </c>
      <c r="E48">
        <f t="shared" si="1"/>
        <v>526507.41430000006</v>
      </c>
      <c r="F48">
        <f t="shared" si="2"/>
        <v>-2.0770805952542113</v>
      </c>
      <c r="G48">
        <f t="shared" si="3"/>
        <v>-1.690225233047761</v>
      </c>
      <c r="H48">
        <f t="shared" si="4"/>
        <v>-0.38685536220645034</v>
      </c>
    </row>
    <row r="49" spans="1:8" x14ac:dyDescent="0.25">
      <c r="A49" s="1">
        <v>43160</v>
      </c>
      <c r="B49">
        <v>-10698.53333</v>
      </c>
      <c r="C49">
        <v>136945.13449999999</v>
      </c>
      <c r="D49">
        <f t="shared" si="0"/>
        <v>-11606.5166675</v>
      </c>
      <c r="E49">
        <f t="shared" si="1"/>
        <v>531769.84039999999</v>
      </c>
      <c r="F49">
        <f t="shared" si="2"/>
        <v>-2.1826203341598913</v>
      </c>
      <c r="G49">
        <f t="shared" si="3"/>
        <v>-1.8409765466728691</v>
      </c>
      <c r="H49">
        <f t="shared" si="4"/>
        <v>-0.34164378748702218</v>
      </c>
    </row>
    <row r="50" spans="1:8" x14ac:dyDescent="0.25">
      <c r="A50" s="1">
        <v>43252</v>
      </c>
      <c r="B50">
        <v>-12006.733329999999</v>
      </c>
      <c r="C50">
        <v>134587.61300000001</v>
      </c>
      <c r="D50">
        <f t="shared" si="0"/>
        <v>-11842.899999999998</v>
      </c>
      <c r="E50">
        <f t="shared" si="1"/>
        <v>538707.03940000001</v>
      </c>
      <c r="F50">
        <f t="shared" si="2"/>
        <v>-2.1983934000918861</v>
      </c>
      <c r="G50">
        <f t="shared" si="3"/>
        <v>-1.9820886187045121</v>
      </c>
      <c r="H50">
        <f t="shared" si="4"/>
        <v>-0.21630478138737397</v>
      </c>
    </row>
    <row r="51" spans="1:8" x14ac:dyDescent="0.25">
      <c r="A51" s="1">
        <v>43344</v>
      </c>
      <c r="B51">
        <v>-13776.233329999999</v>
      </c>
      <c r="C51">
        <v>136449.39689999999</v>
      </c>
      <c r="D51">
        <f t="shared" si="0"/>
        <v>-11963.991665000001</v>
      </c>
      <c r="E51">
        <f t="shared" si="1"/>
        <v>544864.7672</v>
      </c>
      <c r="F51">
        <f t="shared" si="2"/>
        <v>-2.1957726733702452</v>
      </c>
      <c r="G51">
        <f t="shared" si="3"/>
        <v>-2.0983838254607208</v>
      </c>
      <c r="H51">
        <f t="shared" si="4"/>
        <v>-9.7388847909524401E-2</v>
      </c>
    </row>
    <row r="52" spans="1:8" x14ac:dyDescent="0.25">
      <c r="A52" s="1">
        <v>43435</v>
      </c>
      <c r="B52">
        <v>-13171.56667</v>
      </c>
      <c r="C52">
        <v>143385.93770000001</v>
      </c>
      <c r="D52">
        <f t="shared" si="0"/>
        <v>-12413.266664999999</v>
      </c>
      <c r="E52">
        <f t="shared" si="1"/>
        <v>551368.0821</v>
      </c>
      <c r="F52">
        <f t="shared" si="2"/>
        <v>-2.2513574992809691</v>
      </c>
      <c r="G52">
        <f t="shared" si="3"/>
        <v>-2.1634667507190586</v>
      </c>
      <c r="H52">
        <f t="shared" si="4"/>
        <v>-8.7890748561910481E-2</v>
      </c>
    </row>
    <row r="53" spans="1:8" x14ac:dyDescent="0.25">
      <c r="A53" s="1">
        <v>43525</v>
      </c>
      <c r="B53">
        <v>-10782.03333</v>
      </c>
      <c r="C53">
        <v>144940.7132</v>
      </c>
      <c r="D53">
        <f t="shared" si="0"/>
        <v>-12434.141664999999</v>
      </c>
      <c r="E53">
        <f t="shared" si="1"/>
        <v>559363.66079999995</v>
      </c>
      <c r="F53">
        <f t="shared" si="2"/>
        <v>-2.2229083754237329</v>
      </c>
      <c r="G53">
        <f t="shared" si="3"/>
        <v>-2.2070359767257477</v>
      </c>
      <c r="H53">
        <f t="shared" si="4"/>
        <v>-1.5872398697985179E-2</v>
      </c>
    </row>
    <row r="54" spans="1:8" x14ac:dyDescent="0.25">
      <c r="A54" s="1">
        <v>43617</v>
      </c>
      <c r="B54">
        <v>-13542.9</v>
      </c>
      <c r="C54">
        <v>145359.22760000001</v>
      </c>
      <c r="D54">
        <f t="shared" si="0"/>
        <v>-12818.183332500001</v>
      </c>
      <c r="E54">
        <f t="shared" si="1"/>
        <v>570135.27540000004</v>
      </c>
      <c r="F54">
        <f t="shared" si="2"/>
        <v>-2.2482705220277621</v>
      </c>
      <c r="G54">
        <f t="shared" si="3"/>
        <v>-2.2171079870417083</v>
      </c>
      <c r="H54">
        <f t="shared" si="4"/>
        <v>-3.1162534986053814E-2</v>
      </c>
    </row>
    <row r="55" spans="1:8" x14ac:dyDescent="0.25">
      <c r="A55" s="1">
        <v>43709</v>
      </c>
      <c r="B55">
        <v>-16293.2</v>
      </c>
      <c r="C55">
        <v>147623.62040000001</v>
      </c>
      <c r="D55">
        <f t="shared" si="0"/>
        <v>-13447.424999999999</v>
      </c>
      <c r="E55">
        <f t="shared" si="1"/>
        <v>581309.49890000001</v>
      </c>
      <c r="F55">
        <f t="shared" si="2"/>
        <v>-2.3132986860607447</v>
      </c>
      <c r="G55">
        <f t="shared" si="3"/>
        <v>-2.2295772675256771</v>
      </c>
      <c r="H55">
        <f t="shared" si="4"/>
        <v>-8.3721418535067649E-2</v>
      </c>
    </row>
    <row r="56" spans="1:8" x14ac:dyDescent="0.25">
      <c r="A56" s="1">
        <v>43800</v>
      </c>
      <c r="B56">
        <v>-11295.233329999999</v>
      </c>
      <c r="C56">
        <v>156048.45860000001</v>
      </c>
      <c r="D56">
        <f t="shared" si="0"/>
        <v>-12978.341665</v>
      </c>
      <c r="E56">
        <f t="shared" si="1"/>
        <v>593972.01980000001</v>
      </c>
      <c r="F56">
        <f t="shared" si="2"/>
        <v>-2.1850089284289886</v>
      </c>
      <c r="G56">
        <f t="shared" si="3"/>
        <v>-2.2589587706983023</v>
      </c>
      <c r="H56">
        <f t="shared" si="4"/>
        <v>7.394984226931367E-2</v>
      </c>
    </row>
    <row r="57" spans="1:8" x14ac:dyDescent="0.25">
      <c r="A57" s="1">
        <v>43891</v>
      </c>
      <c r="B57">
        <v>-8944.4666670000006</v>
      </c>
      <c r="C57">
        <v>151214.1966</v>
      </c>
      <c r="D57">
        <f t="shared" si="0"/>
        <v>-12518.949999249999</v>
      </c>
      <c r="E57">
        <f t="shared" si="1"/>
        <v>600245.50320000004</v>
      </c>
      <c r="F57">
        <f t="shared" si="2"/>
        <v>-2.0856382817546444</v>
      </c>
      <c r="G57">
        <f t="shared" si="3"/>
        <v>-2.2423716279853068</v>
      </c>
      <c r="H57">
        <f t="shared" si="4"/>
        <v>0.15673334623066237</v>
      </c>
    </row>
    <row r="58" spans="1:8" x14ac:dyDescent="0.25">
      <c r="A58" s="1">
        <v>43983</v>
      </c>
      <c r="B58">
        <v>-19253.666669999999</v>
      </c>
      <c r="C58">
        <v>136507.745</v>
      </c>
      <c r="D58">
        <f t="shared" si="0"/>
        <v>-13946.64166675</v>
      </c>
      <c r="E58">
        <f t="shared" si="1"/>
        <v>591394.02060000005</v>
      </c>
      <c r="F58">
        <f t="shared" si="2"/>
        <v>-2.3582655862161754</v>
      </c>
      <c r="G58">
        <f t="shared" si="3"/>
        <v>-2.2080541045680349</v>
      </c>
      <c r="H58">
        <f t="shared" si="4"/>
        <v>-0.15021148164814058</v>
      </c>
    </row>
    <row r="59" spans="1:8" x14ac:dyDescent="0.25">
      <c r="A59" s="1">
        <v>44075</v>
      </c>
      <c r="B59">
        <v>-15631.166670000001</v>
      </c>
      <c r="C59">
        <v>150128.76259999999</v>
      </c>
      <c r="D59">
        <f t="shared" si="0"/>
        <v>-13781.133334249998</v>
      </c>
      <c r="E59">
        <f t="shared" si="1"/>
        <v>593899.16280000005</v>
      </c>
      <c r="F59">
        <f t="shared" si="2"/>
        <v>-2.320450035537581</v>
      </c>
      <c r="G59">
        <f t="shared" si="3"/>
        <v>-2.2355528706151384</v>
      </c>
      <c r="H59">
        <f t="shared" si="4"/>
        <v>-8.4897164922442592E-2</v>
      </c>
    </row>
    <row r="60" spans="1:8" x14ac:dyDescent="0.25">
      <c r="A60" s="1">
        <v>44166</v>
      </c>
      <c r="B60">
        <v>-6475.1</v>
      </c>
      <c r="C60">
        <v>162271.79670000001</v>
      </c>
      <c r="D60">
        <f t="shared" si="0"/>
        <v>-12576.100001749999</v>
      </c>
      <c r="E60">
        <f t="shared" si="1"/>
        <v>600122.5009000001</v>
      </c>
      <c r="F60">
        <f t="shared" si="2"/>
        <v>-2.095588814432003</v>
      </c>
      <c r="G60">
        <f t="shared" si="3"/>
        <v>-2.2373407079843473</v>
      </c>
      <c r="H60">
        <f t="shared" si="4"/>
        <v>0.1417518935523443</v>
      </c>
    </row>
    <row r="61" spans="1:8" x14ac:dyDescent="0.25">
      <c r="A61" s="1">
        <v>44256</v>
      </c>
      <c r="B61">
        <v>-3704.2</v>
      </c>
      <c r="C61">
        <v>162670.38089999999</v>
      </c>
      <c r="D61">
        <f t="shared" si="0"/>
        <v>-11266.033334999998</v>
      </c>
      <c r="E61">
        <f t="shared" si="1"/>
        <v>611578.68519999995</v>
      </c>
      <c r="F61">
        <f t="shared" si="2"/>
        <v>-1.8421232799039999</v>
      </c>
      <c r="G61">
        <f t="shared" si="3"/>
        <v>-2.2149856794851006</v>
      </c>
      <c r="H61">
        <f t="shared" si="4"/>
        <v>0.37286239958110068</v>
      </c>
    </row>
    <row r="62" spans="1:8" x14ac:dyDescent="0.25">
      <c r="A62" s="1">
        <v>44348</v>
      </c>
      <c r="B62">
        <v>-10609.8</v>
      </c>
      <c r="C62">
        <v>161775.4712</v>
      </c>
      <c r="D62">
        <f t="shared" si="0"/>
        <v>-9105.0666674999993</v>
      </c>
      <c r="E62">
        <f t="shared" si="1"/>
        <v>636846.41139999998</v>
      </c>
      <c r="F62">
        <f t="shared" si="2"/>
        <v>-1.4297115449679676</v>
      </c>
      <c r="G62">
        <f t="shared" si="3"/>
        <v>-2.1541069290224399</v>
      </c>
      <c r="H62">
        <f t="shared" si="4"/>
        <v>0.72439538405447235</v>
      </c>
    </row>
    <row r="63" spans="1:8" x14ac:dyDescent="0.25">
      <c r="A63" s="1">
        <v>44440</v>
      </c>
      <c r="B63">
        <v>-11579.3</v>
      </c>
      <c r="C63">
        <v>167039.88200000001</v>
      </c>
      <c r="D63">
        <f t="shared" si="0"/>
        <v>-8092.0999999999995</v>
      </c>
      <c r="E63">
        <f t="shared" si="1"/>
        <v>653757.53079999995</v>
      </c>
      <c r="F63">
        <f t="shared" si="2"/>
        <v>-1.2377830646321941</v>
      </c>
      <c r="G63">
        <f t="shared" si="3"/>
        <v>-1.921968418710388</v>
      </c>
      <c r="H63">
        <f t="shared" si="4"/>
        <v>0.68418535407819392</v>
      </c>
    </row>
    <row r="64" spans="1:8" x14ac:dyDescent="0.25">
      <c r="A64" s="1">
        <v>44531</v>
      </c>
      <c r="B64">
        <v>-16324.766670000001</v>
      </c>
      <c r="C64">
        <v>177194.8</v>
      </c>
      <c r="D64">
        <f t="shared" si="0"/>
        <v>-10554.5166675</v>
      </c>
      <c r="E64">
        <f t="shared" si="1"/>
        <v>668680.53410000005</v>
      </c>
      <c r="F64">
        <f t="shared" si="2"/>
        <v>-1.5784094390762675</v>
      </c>
      <c r="G64">
        <f t="shared" si="3"/>
        <v>-1.6513016759840411</v>
      </c>
      <c r="H64">
        <f t="shared" si="4"/>
        <v>7.2892236907773578E-2</v>
      </c>
    </row>
    <row r="65" spans="1:8" x14ac:dyDescent="0.25">
      <c r="A65" s="1">
        <v>44621</v>
      </c>
      <c r="B65">
        <v>-15074.9</v>
      </c>
      <c r="C65">
        <v>179250.9418</v>
      </c>
      <c r="D65">
        <f t="shared" si="0"/>
        <v>-13397.191667500001</v>
      </c>
      <c r="E65">
        <f t="shared" si="1"/>
        <v>685261.09499999997</v>
      </c>
      <c r="F65">
        <f t="shared" si="2"/>
        <v>-1.9550492163136739</v>
      </c>
      <c r="G65">
        <f t="shared" si="3"/>
        <v>-1.5220068321451072</v>
      </c>
      <c r="H65">
        <f t="shared" si="4"/>
        <v>-0.43304238416856666</v>
      </c>
    </row>
    <row r="66" spans="1:8" x14ac:dyDescent="0.25">
      <c r="A66" s="1">
        <v>44713</v>
      </c>
      <c r="B66">
        <v>-15217.9</v>
      </c>
      <c r="C66">
        <v>179675.77069999999</v>
      </c>
      <c r="D66">
        <f t="shared" si="0"/>
        <v>-14549.216667500001</v>
      </c>
      <c r="E66">
        <f t="shared" si="1"/>
        <v>703161.39450000005</v>
      </c>
      <c r="F66">
        <f t="shared" si="2"/>
        <v>-2.0691148264539714</v>
      </c>
      <c r="G66">
        <f t="shared" si="3"/>
        <v>-1.5502383162475257</v>
      </c>
      <c r="H66">
        <f t="shared" si="4"/>
        <v>-0.51887651020644565</v>
      </c>
    </row>
    <row r="67" spans="1:8" x14ac:dyDescent="0.25">
      <c r="A67" s="1">
        <v>44805</v>
      </c>
      <c r="B67">
        <v>-18709.3</v>
      </c>
      <c r="C67">
        <v>185671.34729999999</v>
      </c>
      <c r="D67">
        <f t="shared" si="0"/>
        <v>-16331.716667500001</v>
      </c>
      <c r="E67">
        <f t="shared" si="1"/>
        <v>721792.85979999998</v>
      </c>
      <c r="F67">
        <f t="shared" si="2"/>
        <v>-2.2626597708413634</v>
      </c>
      <c r="G67">
        <f t="shared" si="3"/>
        <v>-1.7100891366190267</v>
      </c>
      <c r="H67">
        <f t="shared" si="4"/>
        <v>-0.55257063422233665</v>
      </c>
    </row>
    <row r="68" spans="1:8" x14ac:dyDescent="0.25">
      <c r="A68" s="1">
        <v>44896</v>
      </c>
      <c r="B68">
        <v>-15959</v>
      </c>
      <c r="C68">
        <v>196455.16329999999</v>
      </c>
      <c r="D68">
        <f t="shared" si="0"/>
        <v>-16240.275</v>
      </c>
      <c r="E68">
        <f t="shared" si="1"/>
        <v>741053.22310000006</v>
      </c>
      <c r="F68">
        <f t="shared" si="2"/>
        <v>-2.191512632798911</v>
      </c>
      <c r="G68">
        <f t="shared" si="3"/>
        <v>-1.966308313171319</v>
      </c>
      <c r="H68">
        <f t="shared" si="4"/>
        <v>-0.22520431962759191</v>
      </c>
    </row>
    <row r="69" spans="1:8" x14ac:dyDescent="0.25">
      <c r="A69" s="1">
        <v>44986</v>
      </c>
      <c r="B69">
        <v>-10342.9</v>
      </c>
      <c r="C69">
        <v>200604.59779999999</v>
      </c>
      <c r="D69">
        <f t="shared" si="0"/>
        <v>-15057.275</v>
      </c>
      <c r="E69">
        <f t="shared" si="1"/>
        <v>762406.87910000002</v>
      </c>
      <c r="F69">
        <f t="shared" si="2"/>
        <v>-1.974965784382047</v>
      </c>
      <c r="G69">
        <f t="shared" si="3"/>
        <v>-2.1195841116019798</v>
      </c>
      <c r="H69">
        <f t="shared" si="4"/>
        <v>0.14461832721993284</v>
      </c>
    </row>
    <row r="70" spans="1:8" x14ac:dyDescent="0.25">
      <c r="A70" s="1">
        <v>45078</v>
      </c>
      <c r="B70">
        <v>-8498.4666670000006</v>
      </c>
      <c r="C70">
        <v>200381.2867</v>
      </c>
      <c r="D70">
        <f t="shared" ref="D70:D79" si="5">AVERAGE(B67:B70)</f>
        <v>-13377.416666750001</v>
      </c>
      <c r="E70">
        <f t="shared" ref="E70:E79" si="6">SUM(C67:C70)</f>
        <v>783112.39510000008</v>
      </c>
      <c r="F70">
        <f t="shared" ref="F70:F79" si="7">(D70/E70)*100</f>
        <v>-1.7082371254054489</v>
      </c>
      <c r="G70">
        <f t="shared" si="3"/>
        <v>-2.1245632536190731</v>
      </c>
      <c r="H70">
        <f t="shared" si="4"/>
        <v>0.41632612821362414</v>
      </c>
    </row>
    <row r="71" spans="1:8" x14ac:dyDescent="0.25">
      <c r="A71" s="1">
        <v>45170</v>
      </c>
      <c r="B71">
        <v>-9253.3666670000002</v>
      </c>
      <c r="C71">
        <v>203473.8854</v>
      </c>
      <c r="D71">
        <f t="shared" si="5"/>
        <v>-11013.433333500001</v>
      </c>
      <c r="E71">
        <f t="shared" si="6"/>
        <v>800914.93320000009</v>
      </c>
      <c r="F71">
        <f t="shared" si="7"/>
        <v>-1.3751065034455772</v>
      </c>
      <c r="G71">
        <f t="shared" si="3"/>
        <v>-2.0343438283569424</v>
      </c>
      <c r="H71">
        <f t="shared" si="4"/>
        <v>0.65923732491136522</v>
      </c>
    </row>
    <row r="72" spans="1:8" x14ac:dyDescent="0.25">
      <c r="A72" s="1">
        <v>45261</v>
      </c>
      <c r="B72">
        <v>-11589.93333</v>
      </c>
      <c r="C72">
        <v>212953.65150000001</v>
      </c>
      <c r="D72">
        <f t="shared" si="5"/>
        <v>-9921.166666000001</v>
      </c>
      <c r="E72">
        <f t="shared" si="6"/>
        <v>817413.42139999999</v>
      </c>
      <c r="F72">
        <f t="shared" si="7"/>
        <v>-1.2137269105525359</v>
      </c>
      <c r="G72">
        <f t="shared" si="3"/>
        <v>-1.8124555115079961</v>
      </c>
      <c r="H72">
        <f t="shared" si="4"/>
        <v>0.59872860095546021</v>
      </c>
    </row>
    <row r="73" spans="1:8" x14ac:dyDescent="0.25">
      <c r="A73" s="1">
        <v>45352</v>
      </c>
      <c r="B73">
        <v>-9667.5333329999994</v>
      </c>
      <c r="C73">
        <v>214033.10399999999</v>
      </c>
      <c r="D73">
        <f t="shared" si="5"/>
        <v>-9752.3249992500005</v>
      </c>
      <c r="E73">
        <f t="shared" si="6"/>
        <v>830841.92760000005</v>
      </c>
      <c r="F73">
        <f t="shared" si="7"/>
        <v>-1.1737882592686333</v>
      </c>
      <c r="G73">
        <f t="shared" si="3"/>
        <v>-1.5680090809464022</v>
      </c>
      <c r="H73">
        <f t="shared" si="4"/>
        <v>0.39422082167776895</v>
      </c>
    </row>
    <row r="74" spans="1:8" x14ac:dyDescent="0.25">
      <c r="A74" s="1">
        <v>45444</v>
      </c>
      <c r="B74">
        <v>-11590.266670000001</v>
      </c>
      <c r="C74">
        <v>213508.29639999999</v>
      </c>
      <c r="D74">
        <f t="shared" si="5"/>
        <v>-10525.275000000001</v>
      </c>
      <c r="E74">
        <f t="shared" si="6"/>
        <v>843968.93729999999</v>
      </c>
      <c r="F74">
        <f t="shared" si="7"/>
        <v>-1.2471163966854211</v>
      </c>
      <c r="G74">
        <f t="shared" ref="G74:G79" si="8">AVERAGE(F70:F73)</f>
        <v>-1.3677146996680487</v>
      </c>
      <c r="H74">
        <f t="shared" ref="H74:H79" si="9">F74-G74</f>
        <v>0.12059830298262764</v>
      </c>
    </row>
    <row r="75" spans="1:8" x14ac:dyDescent="0.25">
      <c r="A75" s="1">
        <v>45536</v>
      </c>
      <c r="B75">
        <v>-21995.466670000002</v>
      </c>
      <c r="C75">
        <v>219181.96220000001</v>
      </c>
      <c r="D75">
        <f t="shared" si="5"/>
        <v>-13710.80000075</v>
      </c>
      <c r="E75">
        <f t="shared" si="6"/>
        <v>859677.01410000003</v>
      </c>
      <c r="F75">
        <f t="shared" si="7"/>
        <v>-1.5948780502295856</v>
      </c>
      <c r="G75">
        <f t="shared" si="8"/>
        <v>-1.2524345174880418</v>
      </c>
      <c r="H75">
        <f t="shared" si="9"/>
        <v>-0.34244353274154382</v>
      </c>
    </row>
    <row r="76" spans="1:8" x14ac:dyDescent="0.25">
      <c r="A76" s="1">
        <v>45627</v>
      </c>
      <c r="B76">
        <v>-17108.533329999998</v>
      </c>
      <c r="C76">
        <v>231539.9382</v>
      </c>
      <c r="D76">
        <f t="shared" si="5"/>
        <v>-15090.450000750001</v>
      </c>
      <c r="E76">
        <f t="shared" si="6"/>
        <v>878263.30079999997</v>
      </c>
      <c r="F76">
        <f t="shared" si="7"/>
        <v>-1.7182147981139917</v>
      </c>
      <c r="G76">
        <f t="shared" si="8"/>
        <v>-1.307377404184044</v>
      </c>
      <c r="H76">
        <f t="shared" si="9"/>
        <v>-0.41083739392994767</v>
      </c>
    </row>
    <row r="77" spans="1:8" x14ac:dyDescent="0.25">
      <c r="A77" s="1">
        <v>45717</v>
      </c>
      <c r="B77">
        <v>-16054.93333</v>
      </c>
      <c r="C77">
        <v>231004.36369999999</v>
      </c>
      <c r="D77">
        <f t="shared" si="5"/>
        <v>-16687.300000000003</v>
      </c>
      <c r="E77">
        <f t="shared" si="6"/>
        <v>895234.56050000002</v>
      </c>
      <c r="F77">
        <f t="shared" si="7"/>
        <v>-1.8640142747259367</v>
      </c>
      <c r="G77">
        <f t="shared" si="8"/>
        <v>-1.4334993760744079</v>
      </c>
      <c r="H77">
        <f t="shared" si="9"/>
        <v>-0.43051489865152881</v>
      </c>
    </row>
    <row r="78" spans="1:8" x14ac:dyDescent="0.25">
      <c r="A78" s="1">
        <v>45809</v>
      </c>
      <c r="B78">
        <v>-21962.2</v>
      </c>
      <c r="C78">
        <v>231094.42509999999</v>
      </c>
      <c r="D78">
        <f t="shared" si="5"/>
        <v>-19280.283332499999</v>
      </c>
      <c r="E78">
        <f t="shared" si="6"/>
        <v>912820.68920000002</v>
      </c>
      <c r="F78">
        <f t="shared" si="7"/>
        <v>-2.1121654625726465</v>
      </c>
      <c r="G78">
        <f t="shared" si="8"/>
        <v>-1.6060558799387339</v>
      </c>
      <c r="H78">
        <f t="shared" si="9"/>
        <v>-0.50610958263391259</v>
      </c>
    </row>
    <row r="79" spans="1:8" x14ac:dyDescent="0.25">
      <c r="A79" s="1">
        <v>45901</v>
      </c>
      <c r="B79">
        <v>-28489.866669999999</v>
      </c>
      <c r="C79">
        <v>234696.03409999999</v>
      </c>
      <c r="D79">
        <f t="shared" si="5"/>
        <v>-20903.883332500001</v>
      </c>
      <c r="E79">
        <f t="shared" si="6"/>
        <v>928334.7611</v>
      </c>
      <c r="F79">
        <f t="shared" si="7"/>
        <v>-2.2517613482156618</v>
      </c>
      <c r="G79">
        <f t="shared" si="8"/>
        <v>-1.8223181464105402</v>
      </c>
      <c r="H79">
        <f t="shared" si="9"/>
        <v>-0.42944320180512152</v>
      </c>
    </row>
    <row r="80" spans="1:8" x14ac:dyDescent="0.25">
      <c r="A80" s="1">
        <v>45992</v>
      </c>
      <c r="B80">
        <v>-20890.733329999999</v>
      </c>
      <c r="C80">
        <v>234696.03409999999</v>
      </c>
      <c r="D80">
        <f t="shared" ref="D80" si="10">AVERAGE(B77:B80)</f>
        <v>-21849.433332500001</v>
      </c>
      <c r="E80">
        <f t="shared" ref="E80" si="11">SUM(C77:C80)</f>
        <v>931490.85700000008</v>
      </c>
      <c r="F80">
        <f t="shared" ref="F80" si="12">(D80/E80)*100</f>
        <v>-2.345641201768661</v>
      </c>
      <c r="G80">
        <f t="shared" ref="G80" si="13">AVERAGE(F76:F79)</f>
        <v>-1.9865389709070593</v>
      </c>
      <c r="H80">
        <f t="shared" ref="H80" si="14">F80-G80</f>
        <v>-0.35910223086160165</v>
      </c>
    </row>
    <row r="81" spans="1:8" x14ac:dyDescent="0.25">
      <c r="A81" s="1">
        <v>46082</v>
      </c>
      <c r="B81">
        <v>-14579.2</v>
      </c>
      <c r="C81">
        <v>234696.03409999999</v>
      </c>
      <c r="D81">
        <f t="shared" ref="D81:D82" si="15">AVERAGE(B78:B81)</f>
        <v>-21480.5</v>
      </c>
      <c r="E81">
        <f t="shared" ref="E81:E82" si="16">SUM(C78:C81)</f>
        <v>935182.52740000002</v>
      </c>
      <c r="F81">
        <f t="shared" ref="F81:F82" si="17">(D81/E81)*100</f>
        <v>-2.2969312803266559</v>
      </c>
      <c r="G81">
        <f t="shared" ref="G81:G82" si="18">AVERAGE(F77:F80)</f>
        <v>-2.1433955718207267</v>
      </c>
      <c r="H81">
        <f t="shared" ref="H81:H82" si="19">F81-G81</f>
        <v>-0.15353570850592924</v>
      </c>
    </row>
    <row r="82" spans="1:8" x14ac:dyDescent="0.25">
      <c r="A82" s="1">
        <v>46174</v>
      </c>
      <c r="B82">
        <v>-12703.866669999999</v>
      </c>
      <c r="C82">
        <v>234696.03409999999</v>
      </c>
      <c r="D82">
        <f t="shared" si="15"/>
        <v>-19165.916667500001</v>
      </c>
      <c r="E82">
        <f t="shared" si="16"/>
        <v>938784.13639999996</v>
      </c>
      <c r="F82">
        <f t="shared" si="17"/>
        <v>-2.0415680159441605</v>
      </c>
      <c r="G82">
        <f t="shared" si="18"/>
        <v>-2.2516248232209062</v>
      </c>
      <c r="H82">
        <f t="shared" si="19"/>
        <v>0.21005680727674569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topLeftCell="A50" workbookViewId="0">
      <selection activeCell="B9" sqref="B9:B82"/>
    </sheetView>
  </sheetViews>
  <sheetFormatPr baseColWidth="10" defaultRowHeight="15" x14ac:dyDescent="0.25"/>
  <sheetData>
    <row r="1" spans="1:4" x14ac:dyDescent="0.25">
      <c r="A1" t="s">
        <v>0</v>
      </c>
      <c r="B1" t="s">
        <v>15</v>
      </c>
      <c r="C1" t="str">
        <f>_xlfn.CONCAT(B1,"_MV")</f>
        <v>PREM_MV</v>
      </c>
      <c r="D1" t="s">
        <v>24</v>
      </c>
    </row>
    <row r="2" spans="1:4" x14ac:dyDescent="0.25">
      <c r="A2" s="1">
        <v>38869</v>
      </c>
      <c r="B2">
        <v>2.1147783090000001</v>
      </c>
    </row>
    <row r="3" spans="1:4" x14ac:dyDescent="0.25">
      <c r="A3" s="1">
        <v>38961</v>
      </c>
      <c r="B3">
        <v>2.3118413040000001</v>
      </c>
    </row>
    <row r="4" spans="1:4" x14ac:dyDescent="0.25">
      <c r="A4" s="1">
        <v>39052</v>
      </c>
      <c r="B4">
        <v>2.3129039680000001</v>
      </c>
    </row>
    <row r="5" spans="1:4" x14ac:dyDescent="0.25">
      <c r="A5" s="1">
        <v>39142</v>
      </c>
      <c r="B5">
        <v>1.964036873</v>
      </c>
    </row>
    <row r="6" spans="1:4" x14ac:dyDescent="0.25">
      <c r="A6" s="1">
        <v>39234</v>
      </c>
      <c r="B6">
        <v>1.6972025980000001</v>
      </c>
      <c r="C6">
        <f>AVERAGE(B2:B5)</f>
        <v>2.1758901134999999</v>
      </c>
      <c r="D6">
        <f>B6-C6</f>
        <v>-0.47868751549999988</v>
      </c>
    </row>
    <row r="7" spans="1:4" x14ac:dyDescent="0.25">
      <c r="A7" s="1">
        <v>39326</v>
      </c>
      <c r="B7">
        <v>1.965086012</v>
      </c>
      <c r="C7">
        <f t="shared" ref="C7:C70" si="0">AVERAGE(B3:B6)</f>
        <v>2.0714961857500001</v>
      </c>
      <c r="D7">
        <f t="shared" ref="D7:D70" si="1">B7-C7</f>
        <v>-0.10641017375000006</v>
      </c>
    </row>
    <row r="8" spans="1:4" x14ac:dyDescent="0.25">
      <c r="A8" s="1">
        <v>39417</v>
      </c>
      <c r="B8">
        <v>2.1557742420000001</v>
      </c>
      <c r="C8">
        <f t="shared" si="0"/>
        <v>1.9848073627500002</v>
      </c>
      <c r="D8">
        <f t="shared" si="1"/>
        <v>0.17096687924999987</v>
      </c>
    </row>
    <row r="9" spans="1:4" x14ac:dyDescent="0.25">
      <c r="A9" s="1">
        <v>39508</v>
      </c>
      <c r="B9">
        <v>2.2647206350000002</v>
      </c>
      <c r="C9">
        <f t="shared" si="0"/>
        <v>1.94552493125</v>
      </c>
      <c r="D9">
        <f t="shared" si="1"/>
        <v>0.31919570375000017</v>
      </c>
    </row>
    <row r="10" spans="1:4" x14ac:dyDescent="0.25">
      <c r="A10" s="1">
        <v>39600</v>
      </c>
      <c r="B10">
        <v>2.06908658</v>
      </c>
      <c r="C10">
        <f t="shared" si="0"/>
        <v>2.0206958717500001</v>
      </c>
      <c r="D10">
        <f t="shared" si="1"/>
        <v>4.8390708249999914E-2</v>
      </c>
    </row>
    <row r="11" spans="1:4" x14ac:dyDescent="0.25">
      <c r="A11" s="1">
        <v>39692</v>
      </c>
      <c r="B11">
        <v>2.407678932</v>
      </c>
      <c r="C11">
        <f t="shared" si="0"/>
        <v>2.1136668672500001</v>
      </c>
      <c r="D11">
        <f t="shared" si="1"/>
        <v>0.29401206474999997</v>
      </c>
    </row>
    <row r="12" spans="1:4" x14ac:dyDescent="0.25">
      <c r="A12" s="1">
        <v>39783</v>
      </c>
      <c r="B12">
        <v>3.7277693599999999</v>
      </c>
      <c r="C12">
        <f t="shared" si="0"/>
        <v>2.2243150972499999</v>
      </c>
      <c r="D12">
        <f t="shared" si="1"/>
        <v>1.50345426275</v>
      </c>
    </row>
    <row r="13" spans="1:4" x14ac:dyDescent="0.25">
      <c r="A13" s="1">
        <v>39873</v>
      </c>
      <c r="B13">
        <v>4.9490611639999997</v>
      </c>
      <c r="C13">
        <f t="shared" si="0"/>
        <v>2.6173138767499999</v>
      </c>
      <c r="D13">
        <f t="shared" si="1"/>
        <v>2.3317472872499998</v>
      </c>
    </row>
    <row r="14" spans="1:4" x14ac:dyDescent="0.25">
      <c r="A14" s="1">
        <v>39965</v>
      </c>
      <c r="B14">
        <v>3.8403812409999998</v>
      </c>
      <c r="C14">
        <f t="shared" si="0"/>
        <v>3.2883990089999999</v>
      </c>
      <c r="D14">
        <f t="shared" si="1"/>
        <v>0.55198223199999985</v>
      </c>
    </row>
    <row r="15" spans="1:4" x14ac:dyDescent="0.25">
      <c r="A15" s="1">
        <v>40057</v>
      </c>
      <c r="B15">
        <v>2.9302272729999999</v>
      </c>
      <c r="C15">
        <f t="shared" si="0"/>
        <v>3.7312226742499996</v>
      </c>
      <c r="D15">
        <f t="shared" si="1"/>
        <v>-0.80099540124999979</v>
      </c>
    </row>
    <row r="16" spans="1:4" x14ac:dyDescent="0.25">
      <c r="A16" s="1">
        <v>40148</v>
      </c>
      <c r="B16">
        <v>2.570457014</v>
      </c>
      <c r="C16">
        <f t="shared" si="0"/>
        <v>3.8618597594999997</v>
      </c>
      <c r="D16">
        <f t="shared" si="1"/>
        <v>-1.2914027454999997</v>
      </c>
    </row>
    <row r="17" spans="1:4" x14ac:dyDescent="0.25">
      <c r="A17" s="1">
        <v>40238</v>
      </c>
      <c r="B17">
        <v>2.1203745230000002</v>
      </c>
      <c r="C17">
        <f t="shared" si="0"/>
        <v>3.5725316729999999</v>
      </c>
      <c r="D17">
        <f t="shared" si="1"/>
        <v>-1.4521571499999997</v>
      </c>
    </row>
    <row r="18" spans="1:4" x14ac:dyDescent="0.25">
      <c r="A18" s="1">
        <v>40330</v>
      </c>
      <c r="B18">
        <v>2.1255601730000002</v>
      </c>
      <c r="C18">
        <f t="shared" si="0"/>
        <v>2.8653600127500001</v>
      </c>
      <c r="D18">
        <f t="shared" si="1"/>
        <v>-0.73979983974999985</v>
      </c>
    </row>
    <row r="19" spans="1:4" x14ac:dyDescent="0.25">
      <c r="A19" s="1">
        <v>40422</v>
      </c>
      <c r="B19">
        <v>2.4653124100000001</v>
      </c>
      <c r="C19">
        <f t="shared" si="0"/>
        <v>2.4366547457500003</v>
      </c>
      <c r="D19">
        <f t="shared" si="1"/>
        <v>2.8657664249999826E-2</v>
      </c>
    </row>
    <row r="20" spans="1:4" x14ac:dyDescent="0.25">
      <c r="A20" s="1">
        <v>40513</v>
      </c>
      <c r="B20">
        <v>1.790736364</v>
      </c>
      <c r="C20">
        <f t="shared" si="0"/>
        <v>2.3204260300000001</v>
      </c>
      <c r="D20">
        <f t="shared" si="1"/>
        <v>-0.52968966600000011</v>
      </c>
    </row>
    <row r="21" spans="1:4" x14ac:dyDescent="0.25">
      <c r="A21" s="1">
        <v>40603</v>
      </c>
      <c r="B21">
        <v>1.615653623</v>
      </c>
      <c r="C21">
        <f t="shared" si="0"/>
        <v>2.1254958675000002</v>
      </c>
      <c r="D21">
        <f t="shared" si="1"/>
        <v>-0.50984224450000015</v>
      </c>
    </row>
    <row r="22" spans="1:4" x14ac:dyDescent="0.25">
      <c r="A22" s="1">
        <v>40695</v>
      </c>
      <c r="B22">
        <v>1.979908153</v>
      </c>
      <c r="C22">
        <f t="shared" si="0"/>
        <v>1.9993156425</v>
      </c>
      <c r="D22">
        <f t="shared" si="1"/>
        <v>-1.9407489500000041E-2</v>
      </c>
    </row>
    <row r="23" spans="1:4" x14ac:dyDescent="0.25">
      <c r="A23" s="1">
        <v>40787</v>
      </c>
      <c r="B23">
        <v>2.832411939</v>
      </c>
      <c r="C23">
        <f t="shared" si="0"/>
        <v>1.9629026375</v>
      </c>
      <c r="D23">
        <f t="shared" si="1"/>
        <v>0.86950930149999994</v>
      </c>
    </row>
    <row r="24" spans="1:4" x14ac:dyDescent="0.25">
      <c r="A24" s="1">
        <v>40878</v>
      </c>
      <c r="B24">
        <v>3.5107817460000001</v>
      </c>
      <c r="C24">
        <f t="shared" si="0"/>
        <v>2.0546775197500002</v>
      </c>
      <c r="D24">
        <f t="shared" si="1"/>
        <v>1.4561042262499999</v>
      </c>
    </row>
    <row r="25" spans="1:4" x14ac:dyDescent="0.25">
      <c r="A25" s="1">
        <v>40969</v>
      </c>
      <c r="B25">
        <v>3.2580893940000002</v>
      </c>
      <c r="C25">
        <f t="shared" si="0"/>
        <v>2.4846888652499999</v>
      </c>
      <c r="D25">
        <f t="shared" si="1"/>
        <v>0.77340052875000032</v>
      </c>
    </row>
    <row r="26" spans="1:4" x14ac:dyDescent="0.25">
      <c r="A26" s="1">
        <v>41061</v>
      </c>
      <c r="B26">
        <v>3.511683541</v>
      </c>
      <c r="C26">
        <f t="shared" si="0"/>
        <v>2.895297808</v>
      </c>
      <c r="D26">
        <f t="shared" si="1"/>
        <v>0.61638573299999999</v>
      </c>
    </row>
    <row r="27" spans="1:4" x14ac:dyDescent="0.25">
      <c r="A27" s="1">
        <v>41153</v>
      </c>
      <c r="B27">
        <v>3.1046520979999999</v>
      </c>
      <c r="C27">
        <f t="shared" si="0"/>
        <v>3.278241655</v>
      </c>
      <c r="D27">
        <f t="shared" si="1"/>
        <v>-0.17358955700000012</v>
      </c>
    </row>
    <row r="28" spans="1:4" x14ac:dyDescent="0.25">
      <c r="A28" s="1">
        <v>41244</v>
      </c>
      <c r="B28">
        <v>2.682304646</v>
      </c>
      <c r="C28">
        <f t="shared" si="0"/>
        <v>3.3463016947500002</v>
      </c>
      <c r="D28">
        <f t="shared" si="1"/>
        <v>-0.66399704875000021</v>
      </c>
    </row>
    <row r="29" spans="1:4" x14ac:dyDescent="0.25">
      <c r="A29" s="1">
        <v>41334</v>
      </c>
      <c r="B29">
        <v>2.431259753</v>
      </c>
      <c r="C29">
        <f t="shared" si="0"/>
        <v>3.1391824197500005</v>
      </c>
      <c r="D29">
        <f t="shared" si="1"/>
        <v>-0.70792266675000048</v>
      </c>
    </row>
    <row r="30" spans="1:4" x14ac:dyDescent="0.25">
      <c r="A30" s="1">
        <v>41426</v>
      </c>
      <c r="B30">
        <v>2.594730389</v>
      </c>
      <c r="C30">
        <f t="shared" si="0"/>
        <v>2.9324750095000001</v>
      </c>
      <c r="D30">
        <f t="shared" si="1"/>
        <v>-0.33774462050000009</v>
      </c>
    </row>
    <row r="31" spans="1:4" x14ac:dyDescent="0.25">
      <c r="A31" s="1">
        <v>41518</v>
      </c>
      <c r="B31">
        <v>2.6716212000000001</v>
      </c>
      <c r="C31">
        <f t="shared" si="0"/>
        <v>2.7032367215000002</v>
      </c>
      <c r="D31">
        <f t="shared" si="1"/>
        <v>-3.1615521500000021E-2</v>
      </c>
    </row>
    <row r="32" spans="1:4" x14ac:dyDescent="0.25">
      <c r="A32" s="1">
        <v>41609</v>
      </c>
      <c r="B32">
        <v>2.6464482629999999</v>
      </c>
      <c r="C32">
        <f t="shared" si="0"/>
        <v>2.5949789970000001</v>
      </c>
      <c r="D32">
        <f t="shared" si="1"/>
        <v>5.1469265999999791E-2</v>
      </c>
    </row>
    <row r="33" spans="1:4" x14ac:dyDescent="0.25">
      <c r="A33" s="1">
        <v>41699</v>
      </c>
      <c r="B33">
        <v>2.5252924210000001</v>
      </c>
      <c r="C33">
        <f t="shared" si="0"/>
        <v>2.58601490125</v>
      </c>
      <c r="D33">
        <f t="shared" si="1"/>
        <v>-6.0722480249999933E-2</v>
      </c>
    </row>
    <row r="34" spans="1:4" x14ac:dyDescent="0.25">
      <c r="A34" s="1">
        <v>41791</v>
      </c>
      <c r="B34">
        <v>2.1630189729999998</v>
      </c>
      <c r="C34">
        <f t="shared" si="0"/>
        <v>2.6095230682500001</v>
      </c>
      <c r="D34">
        <f t="shared" si="1"/>
        <v>-0.44650409525000034</v>
      </c>
    </row>
    <row r="35" spans="1:4" x14ac:dyDescent="0.25">
      <c r="A35" s="1">
        <v>41883</v>
      </c>
      <c r="B35">
        <v>2.1845056409999999</v>
      </c>
      <c r="C35">
        <f t="shared" si="0"/>
        <v>2.50159521425</v>
      </c>
      <c r="D35">
        <f t="shared" si="1"/>
        <v>-0.31708957325000009</v>
      </c>
    </row>
    <row r="36" spans="1:4" x14ac:dyDescent="0.25">
      <c r="A36" s="1">
        <v>41974</v>
      </c>
      <c r="B36">
        <v>2.3137576759999998</v>
      </c>
      <c r="C36">
        <f t="shared" si="0"/>
        <v>2.3798163244999997</v>
      </c>
      <c r="D36">
        <f t="shared" si="1"/>
        <v>-6.6058648499999872E-2</v>
      </c>
    </row>
    <row r="37" spans="1:4" x14ac:dyDescent="0.25">
      <c r="A37" s="1">
        <v>42064</v>
      </c>
      <c r="B37">
        <v>2.48475278</v>
      </c>
      <c r="C37">
        <f t="shared" si="0"/>
        <v>2.2966436777499997</v>
      </c>
      <c r="D37">
        <f t="shared" si="1"/>
        <v>0.18810910225000033</v>
      </c>
    </row>
    <row r="38" spans="1:4" x14ac:dyDescent="0.25">
      <c r="A38" s="1">
        <v>42156</v>
      </c>
      <c r="B38">
        <v>2.389748929</v>
      </c>
      <c r="C38">
        <f t="shared" si="0"/>
        <v>2.2865087675</v>
      </c>
      <c r="D38">
        <f t="shared" si="1"/>
        <v>0.10324016150000004</v>
      </c>
    </row>
    <row r="39" spans="1:4" x14ac:dyDescent="0.25">
      <c r="A39" s="1">
        <v>42248</v>
      </c>
      <c r="B39">
        <v>2.791541107</v>
      </c>
      <c r="C39">
        <f t="shared" si="0"/>
        <v>2.3431912564999999</v>
      </c>
      <c r="D39">
        <f t="shared" si="1"/>
        <v>0.44834985050000009</v>
      </c>
    </row>
    <row r="40" spans="1:4" x14ac:dyDescent="0.25">
      <c r="A40" s="1">
        <v>42339</v>
      </c>
      <c r="B40">
        <v>2.9010569240000001</v>
      </c>
      <c r="C40">
        <f t="shared" si="0"/>
        <v>2.4949501230000002</v>
      </c>
      <c r="D40">
        <f t="shared" si="1"/>
        <v>0.40610680099999996</v>
      </c>
    </row>
    <row r="41" spans="1:4" x14ac:dyDescent="0.25">
      <c r="A41" s="1">
        <v>42430</v>
      </c>
      <c r="B41">
        <v>3.240737829</v>
      </c>
      <c r="C41">
        <f t="shared" si="0"/>
        <v>2.6417749350000004</v>
      </c>
      <c r="D41">
        <f t="shared" si="1"/>
        <v>0.59896289399999958</v>
      </c>
    </row>
    <row r="42" spans="1:4" x14ac:dyDescent="0.25">
      <c r="A42" s="1">
        <v>42522</v>
      </c>
      <c r="B42">
        <v>2.7828881559999998</v>
      </c>
      <c r="C42">
        <f t="shared" si="0"/>
        <v>2.8307711972500003</v>
      </c>
      <c r="D42">
        <f t="shared" si="1"/>
        <v>-4.7883041250000424E-2</v>
      </c>
    </row>
    <row r="43" spans="1:4" x14ac:dyDescent="0.25">
      <c r="A43" s="1">
        <v>42614</v>
      </c>
      <c r="B43">
        <v>2.3439094109999998</v>
      </c>
      <c r="C43">
        <f t="shared" si="0"/>
        <v>2.929056004</v>
      </c>
      <c r="D43">
        <f t="shared" si="1"/>
        <v>-0.58514659300000016</v>
      </c>
    </row>
    <row r="44" spans="1:4" x14ac:dyDescent="0.25">
      <c r="A44" s="1">
        <v>42705</v>
      </c>
      <c r="B44">
        <v>2.5762829630000001</v>
      </c>
      <c r="C44">
        <f t="shared" si="0"/>
        <v>2.8171480799999999</v>
      </c>
      <c r="D44">
        <f t="shared" si="1"/>
        <v>-0.2408651169999998</v>
      </c>
    </row>
    <row r="45" spans="1:4" x14ac:dyDescent="0.25">
      <c r="A45" s="1">
        <v>42795</v>
      </c>
      <c r="B45">
        <v>2.2935873600000001</v>
      </c>
      <c r="C45">
        <f t="shared" si="0"/>
        <v>2.7359545897499999</v>
      </c>
      <c r="D45">
        <f t="shared" si="1"/>
        <v>-0.44236722974999987</v>
      </c>
    </row>
    <row r="46" spans="1:4" x14ac:dyDescent="0.25">
      <c r="A46" s="1">
        <v>42887</v>
      </c>
      <c r="B46">
        <v>2.115212557</v>
      </c>
      <c r="C46">
        <f t="shared" si="0"/>
        <v>2.4991669724999999</v>
      </c>
      <c r="D46">
        <f t="shared" si="1"/>
        <v>-0.38395441549999987</v>
      </c>
    </row>
    <row r="47" spans="1:4" x14ac:dyDescent="0.25">
      <c r="A47" s="1">
        <v>42979</v>
      </c>
      <c r="B47">
        <v>2.1607237160000001</v>
      </c>
      <c r="C47">
        <f t="shared" si="0"/>
        <v>2.3322480727500001</v>
      </c>
      <c r="D47">
        <f t="shared" si="1"/>
        <v>-0.17152435675</v>
      </c>
    </row>
    <row r="48" spans="1:4" x14ac:dyDescent="0.25">
      <c r="A48" s="1">
        <v>43070</v>
      </c>
      <c r="B48">
        <v>2.0497434210000001</v>
      </c>
      <c r="C48">
        <f t="shared" si="0"/>
        <v>2.286451649</v>
      </c>
      <c r="D48">
        <f t="shared" si="1"/>
        <v>-0.23670822799999991</v>
      </c>
    </row>
    <row r="49" spans="1:4" x14ac:dyDescent="0.25">
      <c r="A49" s="1">
        <v>43160</v>
      </c>
      <c r="B49">
        <v>1.8790621219999999</v>
      </c>
      <c r="C49">
        <f t="shared" si="0"/>
        <v>2.1548167635</v>
      </c>
      <c r="D49">
        <f t="shared" si="1"/>
        <v>-0.27575464150000006</v>
      </c>
    </row>
    <row r="50" spans="1:4" x14ac:dyDescent="0.25">
      <c r="A50" s="1">
        <v>43252</v>
      </c>
      <c r="B50">
        <v>2.1008642580000001</v>
      </c>
      <c r="C50">
        <f t="shared" si="0"/>
        <v>2.0511854540000001</v>
      </c>
      <c r="D50">
        <f t="shared" si="1"/>
        <v>4.9678804000000021E-2</v>
      </c>
    </row>
    <row r="51" spans="1:4" x14ac:dyDescent="0.25">
      <c r="A51" s="1">
        <v>43344</v>
      </c>
      <c r="B51">
        <v>2.1152176319999998</v>
      </c>
      <c r="C51">
        <f t="shared" si="0"/>
        <v>2.0475983792500001</v>
      </c>
      <c r="D51">
        <f t="shared" si="1"/>
        <v>6.7619252749999692E-2</v>
      </c>
    </row>
    <row r="52" spans="1:4" x14ac:dyDescent="0.25">
      <c r="A52" s="1">
        <v>43435</v>
      </c>
      <c r="B52">
        <v>2.4261608699999999</v>
      </c>
      <c r="C52">
        <f t="shared" si="0"/>
        <v>2.0362218582500002</v>
      </c>
      <c r="D52">
        <f t="shared" si="1"/>
        <v>0.38993901174999968</v>
      </c>
    </row>
    <row r="53" spans="1:4" x14ac:dyDescent="0.25">
      <c r="A53" s="1">
        <v>43525</v>
      </c>
      <c r="B53">
        <v>2.3714054510000002</v>
      </c>
      <c r="C53">
        <f t="shared" si="0"/>
        <v>2.1303262205000002</v>
      </c>
      <c r="D53">
        <f t="shared" si="1"/>
        <v>0.24107923050000002</v>
      </c>
    </row>
    <row r="54" spans="1:4" x14ac:dyDescent="0.25">
      <c r="A54" s="1">
        <v>43617</v>
      </c>
      <c r="B54">
        <v>2.401428992</v>
      </c>
      <c r="C54">
        <f t="shared" si="0"/>
        <v>2.2534120527499999</v>
      </c>
      <c r="D54">
        <f t="shared" si="1"/>
        <v>0.14801693925000015</v>
      </c>
    </row>
    <row r="55" spans="1:4" x14ac:dyDescent="0.25">
      <c r="A55" s="1">
        <v>43709</v>
      </c>
      <c r="B55">
        <v>2.3500832479999998</v>
      </c>
      <c r="C55">
        <f t="shared" si="0"/>
        <v>2.3285532362499999</v>
      </c>
      <c r="D55">
        <f t="shared" si="1"/>
        <v>2.1530011749999911E-2</v>
      </c>
    </row>
    <row r="56" spans="1:4" x14ac:dyDescent="0.25">
      <c r="A56" s="1">
        <v>43800</v>
      </c>
      <c r="B56">
        <v>2.2377247659999999</v>
      </c>
      <c r="C56">
        <f t="shared" si="0"/>
        <v>2.3872696402499995</v>
      </c>
      <c r="D56">
        <f t="shared" si="1"/>
        <v>-0.14954487424999963</v>
      </c>
    </row>
    <row r="57" spans="1:4" x14ac:dyDescent="0.25">
      <c r="A57" s="1">
        <v>43891</v>
      </c>
      <c r="B57">
        <v>2.8536088290000001</v>
      </c>
      <c r="C57">
        <f t="shared" si="0"/>
        <v>2.3401606142500002</v>
      </c>
      <c r="D57">
        <f t="shared" si="1"/>
        <v>0.51344821474999991</v>
      </c>
    </row>
    <row r="58" spans="1:4" x14ac:dyDescent="0.25">
      <c r="A58" s="1">
        <v>43983</v>
      </c>
      <c r="B58">
        <v>3.8512876760000001</v>
      </c>
      <c r="C58">
        <f t="shared" si="0"/>
        <v>2.4607114587500001</v>
      </c>
      <c r="D58">
        <f t="shared" si="1"/>
        <v>1.39057621725</v>
      </c>
    </row>
    <row r="59" spans="1:4" x14ac:dyDescent="0.25">
      <c r="A59" s="1">
        <v>44075</v>
      </c>
      <c r="B59">
        <v>2.9369959300000001</v>
      </c>
      <c r="C59">
        <f t="shared" si="0"/>
        <v>2.8231761297500002</v>
      </c>
      <c r="D59">
        <f t="shared" si="1"/>
        <v>0.11381980024999994</v>
      </c>
    </row>
    <row r="60" spans="1:4" x14ac:dyDescent="0.25">
      <c r="A60" s="1">
        <v>44166</v>
      </c>
      <c r="B60">
        <v>2.4125348409999998</v>
      </c>
      <c r="C60">
        <f t="shared" si="0"/>
        <v>2.9699043002500001</v>
      </c>
      <c r="D60">
        <f t="shared" si="1"/>
        <v>-0.55736945925000025</v>
      </c>
    </row>
    <row r="61" spans="1:4" x14ac:dyDescent="0.25">
      <c r="A61" s="1">
        <v>44256</v>
      </c>
      <c r="B61">
        <v>2.160261153</v>
      </c>
      <c r="C61">
        <f t="shared" si="0"/>
        <v>3.013606819</v>
      </c>
      <c r="D61">
        <f t="shared" si="1"/>
        <v>-0.85334566600000006</v>
      </c>
    </row>
    <row r="62" spans="1:4" x14ac:dyDescent="0.25">
      <c r="A62" s="1">
        <v>44348</v>
      </c>
      <c r="B62">
        <v>1.922992324</v>
      </c>
      <c r="C62">
        <f t="shared" si="0"/>
        <v>2.8402699</v>
      </c>
      <c r="D62">
        <f t="shared" si="1"/>
        <v>-0.91727757600000004</v>
      </c>
    </row>
    <row r="63" spans="1:4" x14ac:dyDescent="0.25">
      <c r="A63" s="1">
        <v>44440</v>
      </c>
      <c r="B63">
        <v>2.2021661109999999</v>
      </c>
      <c r="C63">
        <f t="shared" si="0"/>
        <v>2.3581960620000002</v>
      </c>
      <c r="D63">
        <f t="shared" si="1"/>
        <v>-0.15602995100000028</v>
      </c>
    </row>
    <row r="64" spans="1:4" x14ac:dyDescent="0.25">
      <c r="A64" s="1">
        <v>44531</v>
      </c>
      <c r="B64">
        <v>2.387761636</v>
      </c>
      <c r="C64">
        <f t="shared" si="0"/>
        <v>2.1744886072499998</v>
      </c>
      <c r="D64">
        <f t="shared" si="1"/>
        <v>0.2132730287500002</v>
      </c>
    </row>
    <row r="65" spans="1:4" x14ac:dyDescent="0.25">
      <c r="A65" s="1">
        <v>44621</v>
      </c>
      <c r="B65">
        <v>2.6373423030000001</v>
      </c>
      <c r="C65">
        <f t="shared" si="0"/>
        <v>2.1682953060000001</v>
      </c>
      <c r="D65">
        <f t="shared" si="1"/>
        <v>0.46904699699999997</v>
      </c>
    </row>
    <row r="66" spans="1:4" x14ac:dyDescent="0.25">
      <c r="A66" s="1">
        <v>44713</v>
      </c>
      <c r="B66">
        <v>2.8442305999999999</v>
      </c>
      <c r="C66">
        <f t="shared" si="0"/>
        <v>2.2875655935000001</v>
      </c>
      <c r="D66">
        <f t="shared" si="1"/>
        <v>0.55666500649999984</v>
      </c>
    </row>
    <row r="67" spans="1:4" x14ac:dyDescent="0.25">
      <c r="A67" s="1">
        <v>44805</v>
      </c>
      <c r="B67">
        <v>2.8933898509999998</v>
      </c>
      <c r="C67">
        <f t="shared" si="0"/>
        <v>2.5178751624999998</v>
      </c>
      <c r="D67">
        <f t="shared" si="1"/>
        <v>0.37551468850000003</v>
      </c>
    </row>
    <row r="68" spans="1:4" x14ac:dyDescent="0.25">
      <c r="A68" s="1">
        <v>44896</v>
      </c>
      <c r="B68">
        <v>2.4619109680000002</v>
      </c>
      <c r="C68">
        <f t="shared" si="0"/>
        <v>2.6906810975000002</v>
      </c>
      <c r="D68">
        <f t="shared" si="1"/>
        <v>-0.22877012949999997</v>
      </c>
    </row>
    <row r="69" spans="1:4" x14ac:dyDescent="0.25">
      <c r="A69" s="1">
        <v>44986</v>
      </c>
      <c r="B69">
        <v>2.1918138859999998</v>
      </c>
      <c r="C69">
        <f t="shared" si="0"/>
        <v>2.7092184305</v>
      </c>
      <c r="D69">
        <f t="shared" si="1"/>
        <v>-0.51740454450000017</v>
      </c>
    </row>
    <row r="70" spans="1:4" x14ac:dyDescent="0.25">
      <c r="A70" s="1">
        <v>45078</v>
      </c>
      <c r="B70">
        <v>2.287067435</v>
      </c>
      <c r="C70">
        <f t="shared" si="0"/>
        <v>2.5978363262499999</v>
      </c>
      <c r="D70">
        <f t="shared" si="1"/>
        <v>-0.31076889124999996</v>
      </c>
    </row>
    <row r="71" spans="1:4" x14ac:dyDescent="0.25">
      <c r="A71" s="1">
        <v>45170</v>
      </c>
      <c r="B71">
        <v>2.1491660459999999</v>
      </c>
      <c r="C71">
        <f t="shared" ref="C71:C79" si="2">AVERAGE(B67:B70)</f>
        <v>2.4585455349999998</v>
      </c>
      <c r="D71">
        <f t="shared" ref="D71:D79" si="3">B71-C71</f>
        <v>-0.3093794889999999</v>
      </c>
    </row>
    <row r="72" spans="1:4" x14ac:dyDescent="0.25">
      <c r="A72" s="1">
        <v>45261</v>
      </c>
      <c r="B72">
        <v>2.363699021</v>
      </c>
      <c r="C72">
        <f t="shared" si="2"/>
        <v>2.2724895837500001</v>
      </c>
      <c r="D72">
        <f t="shared" si="3"/>
        <v>9.1209437249999858E-2</v>
      </c>
    </row>
    <row r="73" spans="1:4" x14ac:dyDescent="0.25">
      <c r="A73" s="1">
        <v>45352</v>
      </c>
      <c r="B73">
        <v>2.0677474309999999</v>
      </c>
      <c r="C73">
        <f t="shared" si="2"/>
        <v>2.2479365969999998</v>
      </c>
      <c r="D73">
        <f t="shared" si="3"/>
        <v>-0.1801891659999999</v>
      </c>
    </row>
    <row r="74" spans="1:4" x14ac:dyDescent="0.25">
      <c r="A74" s="1">
        <v>45444</v>
      </c>
      <c r="B74">
        <v>1.9861221929999999</v>
      </c>
      <c r="C74">
        <f t="shared" si="2"/>
        <v>2.2169199832500004</v>
      </c>
      <c r="D74">
        <f t="shared" si="3"/>
        <v>-0.23079779025000047</v>
      </c>
    </row>
    <row r="75" spans="1:4" x14ac:dyDescent="0.25">
      <c r="A75" s="1">
        <v>45536</v>
      </c>
      <c r="B75">
        <v>2.1278686969999998</v>
      </c>
      <c r="C75">
        <f t="shared" si="2"/>
        <v>2.1416836727500002</v>
      </c>
      <c r="D75">
        <f t="shared" si="3"/>
        <v>-1.3814975750000347E-2</v>
      </c>
    </row>
    <row r="76" spans="1:4" x14ac:dyDescent="0.25">
      <c r="A76" s="1">
        <v>45627</v>
      </c>
      <c r="B76">
        <v>2.049088899</v>
      </c>
      <c r="C76">
        <f t="shared" si="2"/>
        <v>2.1363593354999999</v>
      </c>
      <c r="D76">
        <f t="shared" si="3"/>
        <v>-8.7270436499999882E-2</v>
      </c>
    </row>
    <row r="77" spans="1:4" x14ac:dyDescent="0.25">
      <c r="A77" s="1">
        <v>45717</v>
      </c>
      <c r="B77">
        <v>1.9822272249999999</v>
      </c>
      <c r="C77">
        <f t="shared" si="2"/>
        <v>2.0577068049999996</v>
      </c>
      <c r="D77">
        <f t="shared" si="3"/>
        <v>-7.5479579999999658E-2</v>
      </c>
    </row>
    <row r="78" spans="1:4" x14ac:dyDescent="0.25">
      <c r="A78" s="1">
        <v>45809</v>
      </c>
      <c r="B78">
        <v>1.9572828929999999</v>
      </c>
      <c r="C78">
        <f t="shared" si="2"/>
        <v>2.0363267535</v>
      </c>
      <c r="D78">
        <f t="shared" si="3"/>
        <v>-7.9043860500000118E-2</v>
      </c>
    </row>
    <row r="79" spans="1:4" x14ac:dyDescent="0.25">
      <c r="A79" s="1">
        <v>45901</v>
      </c>
      <c r="B79">
        <v>1.6785196499999999</v>
      </c>
      <c r="C79">
        <f t="shared" si="2"/>
        <v>2.0291169284999997</v>
      </c>
      <c r="D79">
        <f t="shared" si="3"/>
        <v>-0.35059727849999978</v>
      </c>
    </row>
    <row r="80" spans="1:4" x14ac:dyDescent="0.25">
      <c r="A80" s="1">
        <v>45992</v>
      </c>
      <c r="B80">
        <v>1.487551308</v>
      </c>
      <c r="C80">
        <f t="shared" ref="C80:C82" si="4">AVERAGE(B76:B79)</f>
        <v>1.9167796667500001</v>
      </c>
      <c r="D80">
        <f t="shared" ref="D80:D82" si="5">B80-C80</f>
        <v>-0.42922835875000009</v>
      </c>
    </row>
    <row r="81" spans="1:4" x14ac:dyDescent="0.25">
      <c r="A81" s="1">
        <v>46082</v>
      </c>
      <c r="B81">
        <v>1.405673333</v>
      </c>
      <c r="C81">
        <f t="shared" si="4"/>
        <v>1.776395269</v>
      </c>
      <c r="D81">
        <f t="shared" si="5"/>
        <v>-0.37072193600000003</v>
      </c>
    </row>
    <row r="82" spans="1:4" x14ac:dyDescent="0.25">
      <c r="A82" s="1">
        <v>46174</v>
      </c>
      <c r="B82">
        <v>1.1990616670000001</v>
      </c>
      <c r="C82">
        <f t="shared" si="4"/>
        <v>1.6322567959999998</v>
      </c>
      <c r="D82">
        <f t="shared" si="5"/>
        <v>-0.43319512899999979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2"/>
  <sheetViews>
    <sheetView topLeftCell="A50" workbookViewId="0">
      <selection activeCell="C9" sqref="C9:C82"/>
    </sheetView>
  </sheetViews>
  <sheetFormatPr baseColWidth="10" defaultRowHeight="15" x14ac:dyDescent="0.25"/>
  <cols>
    <col min="2" max="2" width="12.7109375" bestFit="1" customWidth="1"/>
    <col min="3" max="3" width="17" bestFit="1" customWidth="1"/>
    <col min="4" max="4" width="12.42578125" bestFit="1" customWidth="1"/>
    <col min="5" max="5" width="13.140625" bestFit="1" customWidth="1"/>
  </cols>
  <sheetData>
    <row r="1" spans="1:5" x14ac:dyDescent="0.25">
      <c r="A1" t="s">
        <v>0</v>
      </c>
      <c r="B1" t="s">
        <v>4</v>
      </c>
      <c r="C1" t="str">
        <f>_xlfn.CONCAT(B1,"_yoy")</f>
        <v>core_cpi_yoy</v>
      </c>
      <c r="D1" t="s">
        <v>25</v>
      </c>
      <c r="E1" t="s">
        <v>24</v>
      </c>
    </row>
    <row r="2" spans="1:5" x14ac:dyDescent="0.25">
      <c r="A2" s="1">
        <v>38869</v>
      </c>
      <c r="B2">
        <v>150.01578670000001</v>
      </c>
    </row>
    <row r="3" spans="1:5" x14ac:dyDescent="0.25">
      <c r="A3" s="1">
        <v>38961</v>
      </c>
      <c r="B3">
        <v>151.6121067</v>
      </c>
    </row>
    <row r="4" spans="1:5" x14ac:dyDescent="0.25">
      <c r="A4" s="1">
        <v>39052</v>
      </c>
      <c r="B4">
        <v>153.04777000000001</v>
      </c>
    </row>
    <row r="5" spans="1:5" x14ac:dyDescent="0.25">
      <c r="A5" s="1">
        <v>39142</v>
      </c>
      <c r="B5">
        <v>156.38572669999999</v>
      </c>
    </row>
    <row r="6" spans="1:5" x14ac:dyDescent="0.25">
      <c r="A6" s="1">
        <v>39234</v>
      </c>
      <c r="B6">
        <v>158.50416999999999</v>
      </c>
      <c r="C6">
        <f>((B6/B2)-1)*100</f>
        <v>5.6583266912934693</v>
      </c>
    </row>
    <row r="7" spans="1:5" x14ac:dyDescent="0.25">
      <c r="A7" s="1">
        <v>39326</v>
      </c>
      <c r="B7">
        <v>160.74777330000001</v>
      </c>
      <c r="C7">
        <f t="shared" ref="C7:C70" si="0">((B7/B3)-1)*100</f>
        <v>6.0256840953190283</v>
      </c>
    </row>
    <row r="8" spans="1:5" x14ac:dyDescent="0.25">
      <c r="A8" s="1">
        <v>39417</v>
      </c>
      <c r="B8">
        <v>163.45267999999999</v>
      </c>
      <c r="C8">
        <f t="shared" si="0"/>
        <v>6.7984721371634249</v>
      </c>
    </row>
    <row r="9" spans="1:5" x14ac:dyDescent="0.25">
      <c r="A9" s="1">
        <v>39508</v>
      </c>
      <c r="B9">
        <v>168.3968433</v>
      </c>
      <c r="C9">
        <f t="shared" si="0"/>
        <v>7.6804430004288937</v>
      </c>
    </row>
    <row r="10" spans="1:5" x14ac:dyDescent="0.25">
      <c r="A10" s="1">
        <v>39600</v>
      </c>
      <c r="B10">
        <v>172.67838330000001</v>
      </c>
      <c r="C10">
        <f t="shared" si="0"/>
        <v>8.9424860557296491</v>
      </c>
      <c r="D10">
        <f>AVERAGE(C6:C9)</f>
        <v>6.5407314810512043</v>
      </c>
      <c r="E10">
        <f>C10-D10</f>
        <v>2.4017545746784448</v>
      </c>
    </row>
    <row r="11" spans="1:5" x14ac:dyDescent="0.25">
      <c r="A11" s="1">
        <v>39692</v>
      </c>
      <c r="B11">
        <v>177.01507000000001</v>
      </c>
      <c r="C11">
        <f t="shared" si="0"/>
        <v>10.119764875150539</v>
      </c>
      <c r="D11">
        <f t="shared" ref="D11:D74" si="1">AVERAGE(C7:C10)</f>
        <v>7.3617713221602488</v>
      </c>
      <c r="E11">
        <f t="shared" ref="E11:E74" si="2">C11-D11</f>
        <v>2.7579935529902899</v>
      </c>
    </row>
    <row r="12" spans="1:5" x14ac:dyDescent="0.25">
      <c r="A12" s="1">
        <v>39783</v>
      </c>
      <c r="B12">
        <v>179.97388670000001</v>
      </c>
      <c r="C12">
        <f t="shared" si="0"/>
        <v>10.10763892032851</v>
      </c>
      <c r="D12">
        <f t="shared" si="1"/>
        <v>8.3852915171181266</v>
      </c>
      <c r="E12">
        <f t="shared" si="2"/>
        <v>1.7223474032103834</v>
      </c>
    </row>
    <row r="13" spans="1:5" x14ac:dyDescent="0.25">
      <c r="A13" s="1">
        <v>39873</v>
      </c>
      <c r="B13">
        <v>181.95939000000001</v>
      </c>
      <c r="C13">
        <f t="shared" si="0"/>
        <v>8.0539197969633278</v>
      </c>
      <c r="D13">
        <f t="shared" si="1"/>
        <v>9.212583212909399</v>
      </c>
      <c r="E13">
        <f t="shared" si="2"/>
        <v>-1.1586634159460711</v>
      </c>
    </row>
    <row r="14" spans="1:5" x14ac:dyDescent="0.25">
      <c r="A14" s="1">
        <v>39965</v>
      </c>
      <c r="B14">
        <v>182.96869330000001</v>
      </c>
      <c r="C14">
        <f t="shared" si="0"/>
        <v>5.9592346206544633</v>
      </c>
      <c r="D14">
        <f t="shared" si="1"/>
        <v>9.3059524120430073</v>
      </c>
      <c r="E14">
        <f t="shared" si="2"/>
        <v>-3.346717791388544</v>
      </c>
    </row>
    <row r="15" spans="1:5" x14ac:dyDescent="0.25">
      <c r="A15" s="1">
        <v>40057</v>
      </c>
      <c r="B15">
        <v>184.2179567</v>
      </c>
      <c r="C15">
        <f t="shared" si="0"/>
        <v>4.0690810675045874</v>
      </c>
      <c r="D15">
        <f t="shared" si="1"/>
        <v>8.5601395532742099</v>
      </c>
      <c r="E15">
        <f t="shared" si="2"/>
        <v>-4.4910584857696225</v>
      </c>
    </row>
    <row r="16" spans="1:5" x14ac:dyDescent="0.25">
      <c r="A16" s="1">
        <v>40148</v>
      </c>
      <c r="B16">
        <v>185.39561330000001</v>
      </c>
      <c r="C16">
        <f t="shared" si="0"/>
        <v>3.0125073694927229</v>
      </c>
      <c r="D16">
        <f t="shared" si="1"/>
        <v>7.0474686013627226</v>
      </c>
      <c r="E16">
        <f t="shared" si="2"/>
        <v>-4.0349612318699997</v>
      </c>
    </row>
    <row r="17" spans="1:5" x14ac:dyDescent="0.25">
      <c r="A17" s="1">
        <v>40238</v>
      </c>
      <c r="B17">
        <v>187.69257999999999</v>
      </c>
      <c r="C17">
        <f t="shared" si="0"/>
        <v>3.150807441154857</v>
      </c>
      <c r="D17">
        <f t="shared" si="1"/>
        <v>5.2736857136537756</v>
      </c>
      <c r="E17">
        <f t="shared" si="2"/>
        <v>-2.1228782724989186</v>
      </c>
    </row>
    <row r="18" spans="1:5" x14ac:dyDescent="0.25">
      <c r="A18" s="1">
        <v>40330</v>
      </c>
      <c r="B18">
        <v>189.63227000000001</v>
      </c>
      <c r="C18">
        <f t="shared" si="0"/>
        <v>3.6419217844411378</v>
      </c>
      <c r="D18">
        <f t="shared" si="1"/>
        <v>4.0479076247016579</v>
      </c>
      <c r="E18">
        <f t="shared" si="2"/>
        <v>-0.40598584026052009</v>
      </c>
    </row>
    <row r="19" spans="1:5" x14ac:dyDescent="0.25">
      <c r="A19" s="1">
        <v>40422</v>
      </c>
      <c r="B19">
        <v>191.30178000000001</v>
      </c>
      <c r="C19">
        <f t="shared" si="0"/>
        <v>3.8453489697185539</v>
      </c>
      <c r="D19">
        <f t="shared" si="1"/>
        <v>3.4685794156483265</v>
      </c>
      <c r="E19">
        <f t="shared" si="2"/>
        <v>0.37676955407022739</v>
      </c>
    </row>
    <row r="20" spans="1:5" x14ac:dyDescent="0.25">
      <c r="A20" s="1">
        <v>40513</v>
      </c>
      <c r="B20">
        <v>192.95538999999999</v>
      </c>
      <c r="C20">
        <f t="shared" si="0"/>
        <v>4.0776459407197763</v>
      </c>
      <c r="D20">
        <f t="shared" si="1"/>
        <v>3.4126463912018181</v>
      </c>
      <c r="E20">
        <f t="shared" si="2"/>
        <v>0.66499954951795814</v>
      </c>
    </row>
    <row r="21" spans="1:5" x14ac:dyDescent="0.25">
      <c r="A21" s="1">
        <v>40603</v>
      </c>
      <c r="B21">
        <v>195.88597999999999</v>
      </c>
      <c r="C21">
        <f t="shared" si="0"/>
        <v>4.3653297322675089</v>
      </c>
      <c r="D21">
        <f t="shared" si="1"/>
        <v>3.6789310340085812</v>
      </c>
      <c r="E21">
        <f t="shared" si="2"/>
        <v>0.68639869825892763</v>
      </c>
    </row>
    <row r="22" spans="1:5" x14ac:dyDescent="0.25">
      <c r="A22" s="1">
        <v>40695</v>
      </c>
      <c r="B22">
        <v>198.9007067</v>
      </c>
      <c r="C22">
        <f t="shared" si="0"/>
        <v>4.8875841121345021</v>
      </c>
      <c r="D22">
        <f t="shared" si="1"/>
        <v>3.982561606786744</v>
      </c>
      <c r="E22">
        <f t="shared" si="2"/>
        <v>0.90502250534775808</v>
      </c>
    </row>
    <row r="23" spans="1:5" x14ac:dyDescent="0.25">
      <c r="A23" s="1">
        <v>40787</v>
      </c>
      <c r="B23">
        <v>201.63990000000001</v>
      </c>
      <c r="C23">
        <f t="shared" si="0"/>
        <v>5.4040898103509649</v>
      </c>
      <c r="D23">
        <f t="shared" si="1"/>
        <v>4.2939771887100848</v>
      </c>
      <c r="E23">
        <f t="shared" si="2"/>
        <v>1.1101126216408801</v>
      </c>
    </row>
    <row r="24" spans="1:5" x14ac:dyDescent="0.25">
      <c r="A24" s="1">
        <v>40878</v>
      </c>
      <c r="B24">
        <v>203.75373669999999</v>
      </c>
      <c r="C24">
        <f t="shared" si="0"/>
        <v>5.5962918164659703</v>
      </c>
      <c r="D24">
        <f t="shared" si="1"/>
        <v>4.6836623988681874</v>
      </c>
      <c r="E24">
        <f t="shared" si="2"/>
        <v>0.91262941759778293</v>
      </c>
    </row>
    <row r="25" spans="1:5" x14ac:dyDescent="0.25">
      <c r="A25" s="1">
        <v>40969</v>
      </c>
      <c r="B25">
        <v>205.8523667</v>
      </c>
      <c r="C25">
        <f t="shared" si="0"/>
        <v>5.087850952885975</v>
      </c>
      <c r="D25">
        <f t="shared" si="1"/>
        <v>5.063323867804737</v>
      </c>
      <c r="E25">
        <f t="shared" si="2"/>
        <v>2.452708508123802E-2</v>
      </c>
    </row>
    <row r="26" spans="1:5" x14ac:dyDescent="0.25">
      <c r="A26" s="1">
        <v>41061</v>
      </c>
      <c r="B26">
        <v>208.06119330000001</v>
      </c>
      <c r="C26">
        <f t="shared" si="0"/>
        <v>4.605557593023879</v>
      </c>
      <c r="D26">
        <f t="shared" si="1"/>
        <v>5.2439541729593531</v>
      </c>
      <c r="E26">
        <f t="shared" si="2"/>
        <v>-0.63839657993547405</v>
      </c>
    </row>
    <row r="27" spans="1:5" x14ac:dyDescent="0.25">
      <c r="A27" s="1">
        <v>41153</v>
      </c>
      <c r="B27">
        <v>210.5035767</v>
      </c>
      <c r="C27">
        <f t="shared" si="0"/>
        <v>4.3957950286624747</v>
      </c>
      <c r="D27">
        <f t="shared" si="1"/>
        <v>5.1734475431816973</v>
      </c>
      <c r="E27">
        <f t="shared" si="2"/>
        <v>-0.77765251451922257</v>
      </c>
    </row>
    <row r="28" spans="1:5" x14ac:dyDescent="0.25">
      <c r="A28" s="1">
        <v>41244</v>
      </c>
      <c r="B28">
        <v>212.7600133</v>
      </c>
      <c r="C28">
        <f t="shared" si="0"/>
        <v>4.4201773895614638</v>
      </c>
      <c r="D28">
        <f t="shared" si="1"/>
        <v>4.9213738477595754</v>
      </c>
      <c r="E28">
        <f t="shared" si="2"/>
        <v>-0.50119645819811165</v>
      </c>
    </row>
    <row r="29" spans="1:5" x14ac:dyDescent="0.25">
      <c r="A29" s="1">
        <v>41334</v>
      </c>
      <c r="B29">
        <v>215.53487000000001</v>
      </c>
      <c r="C29">
        <f t="shared" si="0"/>
        <v>4.7036152438853618</v>
      </c>
      <c r="D29">
        <f t="shared" si="1"/>
        <v>4.6273452410334484</v>
      </c>
      <c r="E29">
        <f t="shared" si="2"/>
        <v>7.6270002851913432E-2</v>
      </c>
    </row>
    <row r="30" spans="1:5" x14ac:dyDescent="0.25">
      <c r="A30" s="1">
        <v>41426</v>
      </c>
      <c r="B30">
        <v>217.77124670000001</v>
      </c>
      <c r="C30">
        <f t="shared" si="0"/>
        <v>4.6669219021536756</v>
      </c>
      <c r="D30">
        <f t="shared" si="1"/>
        <v>4.531286313783295</v>
      </c>
      <c r="E30">
        <f t="shared" si="2"/>
        <v>0.13563558837038059</v>
      </c>
    </row>
    <row r="31" spans="1:5" x14ac:dyDescent="0.25">
      <c r="A31" s="1">
        <v>41518</v>
      </c>
      <c r="B31">
        <v>219.3749267</v>
      </c>
      <c r="C31">
        <f t="shared" si="0"/>
        <v>4.214346444404149</v>
      </c>
      <c r="D31">
        <f t="shared" si="1"/>
        <v>4.5466273910657442</v>
      </c>
      <c r="E31">
        <f t="shared" si="2"/>
        <v>-0.33228094666159524</v>
      </c>
    </row>
    <row r="32" spans="1:5" x14ac:dyDescent="0.25">
      <c r="A32" s="1">
        <v>41609</v>
      </c>
      <c r="B32">
        <v>220.9863033</v>
      </c>
      <c r="C32">
        <f t="shared" si="0"/>
        <v>3.8664643193082604</v>
      </c>
      <c r="D32">
        <f t="shared" si="1"/>
        <v>4.5012652450011625</v>
      </c>
      <c r="E32">
        <f t="shared" si="2"/>
        <v>-0.63480092569290214</v>
      </c>
    </row>
    <row r="33" spans="1:5" x14ac:dyDescent="0.25">
      <c r="A33" s="1">
        <v>41699</v>
      </c>
      <c r="B33">
        <v>222.74112</v>
      </c>
      <c r="C33">
        <f t="shared" si="0"/>
        <v>3.3434265184097534</v>
      </c>
      <c r="D33">
        <f t="shared" si="1"/>
        <v>4.3628369774378619</v>
      </c>
      <c r="E33">
        <f t="shared" si="2"/>
        <v>-1.0194104590281086</v>
      </c>
    </row>
    <row r="34" spans="1:5" x14ac:dyDescent="0.25">
      <c r="A34" s="1">
        <v>41791</v>
      </c>
      <c r="B34">
        <v>224.63159669999999</v>
      </c>
      <c r="C34">
        <f t="shared" si="0"/>
        <v>3.1502551893137332</v>
      </c>
      <c r="D34">
        <f t="shared" si="1"/>
        <v>4.0227897960689596</v>
      </c>
      <c r="E34">
        <f t="shared" si="2"/>
        <v>-0.87253460675522643</v>
      </c>
    </row>
    <row r="35" spans="1:5" x14ac:dyDescent="0.25">
      <c r="A35" s="1">
        <v>41883</v>
      </c>
      <c r="B35">
        <v>226.47525999999999</v>
      </c>
      <c r="C35">
        <f t="shared" si="0"/>
        <v>3.2366202495464957</v>
      </c>
      <c r="D35">
        <f t="shared" si="1"/>
        <v>3.643623117858974</v>
      </c>
      <c r="E35">
        <f t="shared" si="2"/>
        <v>-0.40700286831247823</v>
      </c>
    </row>
    <row r="36" spans="1:5" x14ac:dyDescent="0.25">
      <c r="A36" s="1">
        <v>41974</v>
      </c>
      <c r="B36">
        <v>227.88435329999999</v>
      </c>
      <c r="C36">
        <f t="shared" si="0"/>
        <v>3.12148304985016</v>
      </c>
      <c r="D36">
        <f t="shared" si="1"/>
        <v>3.3991915691445604</v>
      </c>
      <c r="E36">
        <f t="shared" si="2"/>
        <v>-0.27770851929440044</v>
      </c>
    </row>
    <row r="37" spans="1:5" x14ac:dyDescent="0.25">
      <c r="A37" s="1">
        <v>42064</v>
      </c>
      <c r="B37">
        <v>229.3673067</v>
      </c>
      <c r="C37">
        <f t="shared" si="0"/>
        <v>2.9748376500935203</v>
      </c>
      <c r="D37">
        <f t="shared" si="1"/>
        <v>3.2129462517800356</v>
      </c>
      <c r="E37">
        <f t="shared" si="2"/>
        <v>-0.23810860168651526</v>
      </c>
    </row>
    <row r="38" spans="1:5" x14ac:dyDescent="0.25">
      <c r="A38" s="1">
        <v>42156</v>
      </c>
      <c r="B38">
        <v>231.0872833</v>
      </c>
      <c r="C38">
        <f t="shared" si="0"/>
        <v>2.8738996182365639</v>
      </c>
      <c r="D38">
        <f t="shared" si="1"/>
        <v>3.1207990347009771</v>
      </c>
      <c r="E38">
        <f t="shared" si="2"/>
        <v>-0.24689941646441316</v>
      </c>
    </row>
    <row r="39" spans="1:5" x14ac:dyDescent="0.25">
      <c r="A39" s="1">
        <v>42248</v>
      </c>
      <c r="B39">
        <v>232.89532</v>
      </c>
      <c r="C39">
        <f t="shared" si="0"/>
        <v>2.8347732109900159</v>
      </c>
      <c r="D39">
        <f t="shared" si="1"/>
        <v>3.051710141931685</v>
      </c>
      <c r="E39">
        <f t="shared" si="2"/>
        <v>-0.2169369309416691</v>
      </c>
    </row>
    <row r="40" spans="1:5" x14ac:dyDescent="0.25">
      <c r="A40" s="1">
        <v>42339</v>
      </c>
      <c r="B40">
        <v>234.52655329999999</v>
      </c>
      <c r="C40">
        <f t="shared" si="0"/>
        <v>2.9147240272594965</v>
      </c>
      <c r="D40">
        <f t="shared" si="1"/>
        <v>2.9512483822925653</v>
      </c>
      <c r="E40">
        <f t="shared" si="2"/>
        <v>-3.6524355033068723E-2</v>
      </c>
    </row>
    <row r="41" spans="1:5" x14ac:dyDescent="0.25">
      <c r="A41" s="1">
        <v>42430</v>
      </c>
      <c r="B41">
        <v>236.1921467</v>
      </c>
      <c r="C41">
        <f t="shared" si="0"/>
        <v>2.9755068837802989</v>
      </c>
      <c r="D41">
        <f t="shared" si="1"/>
        <v>2.8995586266448994</v>
      </c>
      <c r="E41">
        <f t="shared" si="2"/>
        <v>7.5948257135399544E-2</v>
      </c>
    </row>
    <row r="42" spans="1:5" x14ac:dyDescent="0.25">
      <c r="A42" s="1">
        <v>42522</v>
      </c>
      <c r="B42">
        <v>237.9715467</v>
      </c>
      <c r="C42">
        <f t="shared" si="0"/>
        <v>2.9790749632305769</v>
      </c>
      <c r="D42">
        <f t="shared" si="1"/>
        <v>2.899725935066594</v>
      </c>
      <c r="E42">
        <f t="shared" si="2"/>
        <v>7.9349028163982815E-2</v>
      </c>
    </row>
    <row r="43" spans="1:5" x14ac:dyDescent="0.25">
      <c r="A43" s="1">
        <v>42614</v>
      </c>
      <c r="B43">
        <v>239.66417000000001</v>
      </c>
      <c r="C43">
        <f t="shared" si="0"/>
        <v>2.9063915925833239</v>
      </c>
      <c r="D43">
        <f t="shared" si="1"/>
        <v>2.9260197713150973</v>
      </c>
      <c r="E43">
        <f t="shared" si="2"/>
        <v>-1.962817873177336E-2</v>
      </c>
    </row>
    <row r="44" spans="1:5" x14ac:dyDescent="0.25">
      <c r="A44" s="1">
        <v>42705</v>
      </c>
      <c r="B44">
        <v>241.18182999999999</v>
      </c>
      <c r="C44">
        <f t="shared" si="0"/>
        <v>2.83774975854727</v>
      </c>
      <c r="D44">
        <f t="shared" si="1"/>
        <v>2.9439243667134241</v>
      </c>
      <c r="E44">
        <f t="shared" si="2"/>
        <v>-0.10617460816615409</v>
      </c>
    </row>
    <row r="45" spans="1:5" x14ac:dyDescent="0.25">
      <c r="A45" s="1">
        <v>42795</v>
      </c>
      <c r="B45">
        <v>243.0808467</v>
      </c>
      <c r="C45">
        <f t="shared" si="0"/>
        <v>2.9165660654880687</v>
      </c>
      <c r="D45">
        <f t="shared" si="1"/>
        <v>2.9246807995353676</v>
      </c>
      <c r="E45">
        <f t="shared" si="2"/>
        <v>-8.1147340472988994E-3</v>
      </c>
    </row>
    <row r="46" spans="1:5" x14ac:dyDescent="0.25">
      <c r="A46" s="1">
        <v>42887</v>
      </c>
      <c r="B46">
        <v>244.45406</v>
      </c>
      <c r="C46">
        <f t="shared" si="0"/>
        <v>2.7240707512701912</v>
      </c>
      <c r="D46">
        <f t="shared" si="1"/>
        <v>2.9099455949623101</v>
      </c>
      <c r="E46">
        <f t="shared" si="2"/>
        <v>-0.18587484369211893</v>
      </c>
    </row>
    <row r="47" spans="1:5" x14ac:dyDescent="0.25">
      <c r="A47" s="1">
        <v>42979</v>
      </c>
      <c r="B47">
        <v>245.7843933</v>
      </c>
      <c r="C47">
        <f t="shared" si="0"/>
        <v>2.5536663657316883</v>
      </c>
      <c r="D47">
        <f t="shared" si="1"/>
        <v>2.8461945419722134</v>
      </c>
      <c r="E47">
        <f t="shared" si="2"/>
        <v>-0.29252817624052518</v>
      </c>
    </row>
    <row r="48" spans="1:5" x14ac:dyDescent="0.25">
      <c r="A48" s="1">
        <v>43070</v>
      </c>
      <c r="B48">
        <v>247.33489</v>
      </c>
      <c r="C48">
        <f t="shared" si="0"/>
        <v>2.5512120875772482</v>
      </c>
      <c r="D48">
        <f t="shared" si="1"/>
        <v>2.7580132352593045</v>
      </c>
      <c r="E48">
        <f t="shared" si="2"/>
        <v>-0.20680114768205637</v>
      </c>
    </row>
    <row r="49" spans="1:5" x14ac:dyDescent="0.25">
      <c r="A49" s="1">
        <v>43160</v>
      </c>
      <c r="B49">
        <v>248.88079329999999</v>
      </c>
      <c r="C49">
        <f t="shared" si="0"/>
        <v>2.3860154671742073</v>
      </c>
      <c r="D49">
        <f t="shared" si="1"/>
        <v>2.6863788175167991</v>
      </c>
      <c r="E49">
        <f t="shared" si="2"/>
        <v>-0.30036335034259176</v>
      </c>
    </row>
    <row r="50" spans="1:5" x14ac:dyDescent="0.25">
      <c r="A50" s="1">
        <v>43252</v>
      </c>
      <c r="B50">
        <v>250.48421329999999</v>
      </c>
      <c r="C50">
        <f t="shared" si="0"/>
        <v>2.466783861147559</v>
      </c>
      <c r="D50">
        <f t="shared" si="1"/>
        <v>2.5537411679383339</v>
      </c>
      <c r="E50">
        <f t="shared" si="2"/>
        <v>-8.6957306790774958E-2</v>
      </c>
    </row>
    <row r="51" spans="1:5" x14ac:dyDescent="0.25">
      <c r="A51" s="1">
        <v>43344</v>
      </c>
      <c r="B51">
        <v>252.45359669999999</v>
      </c>
      <c r="C51">
        <f t="shared" si="0"/>
        <v>2.7134364840893932</v>
      </c>
      <c r="D51">
        <f t="shared" si="1"/>
        <v>2.4894194454076759</v>
      </c>
      <c r="E51">
        <f t="shared" si="2"/>
        <v>0.2240170386817173</v>
      </c>
    </row>
    <row r="52" spans="1:5" x14ac:dyDescent="0.25">
      <c r="A52" s="1">
        <v>43435</v>
      </c>
      <c r="B52">
        <v>253.71710999999999</v>
      </c>
      <c r="C52">
        <f t="shared" si="0"/>
        <v>2.5803961584230928</v>
      </c>
      <c r="D52">
        <f t="shared" si="1"/>
        <v>2.5293619749971019</v>
      </c>
      <c r="E52">
        <f t="shared" si="2"/>
        <v>5.1034183425990864E-2</v>
      </c>
    </row>
    <row r="53" spans="1:5" x14ac:dyDescent="0.25">
      <c r="A53" s="1">
        <v>43525</v>
      </c>
      <c r="B53">
        <v>254.64612</v>
      </c>
      <c r="C53">
        <f t="shared" si="0"/>
        <v>2.3165012549001718</v>
      </c>
      <c r="D53">
        <f t="shared" si="1"/>
        <v>2.5366579927085633</v>
      </c>
      <c r="E53">
        <f t="shared" si="2"/>
        <v>-0.22015673780839151</v>
      </c>
    </row>
    <row r="54" spans="1:5" x14ac:dyDescent="0.25">
      <c r="A54" s="1">
        <v>43617</v>
      </c>
      <c r="B54">
        <v>256.13247999999999</v>
      </c>
      <c r="C54">
        <f t="shared" si="0"/>
        <v>2.2549391938066599</v>
      </c>
      <c r="D54">
        <f t="shared" si="1"/>
        <v>2.5192794396400542</v>
      </c>
      <c r="E54">
        <f t="shared" si="2"/>
        <v>-0.26434024583339433</v>
      </c>
    </row>
    <row r="55" spans="1:5" x14ac:dyDescent="0.25">
      <c r="A55" s="1">
        <v>43709</v>
      </c>
      <c r="B55">
        <v>257.52440000000001</v>
      </c>
      <c r="C55">
        <f t="shared" si="0"/>
        <v>2.0086080635348891</v>
      </c>
      <c r="D55">
        <f t="shared" si="1"/>
        <v>2.4663182728048296</v>
      </c>
      <c r="E55">
        <f t="shared" si="2"/>
        <v>-0.45771020926994055</v>
      </c>
    </row>
    <row r="56" spans="1:5" x14ac:dyDescent="0.25">
      <c r="A56" s="1">
        <v>43800</v>
      </c>
      <c r="B56">
        <v>258.62581</v>
      </c>
      <c r="C56">
        <f t="shared" si="0"/>
        <v>1.9347138235966899</v>
      </c>
      <c r="D56">
        <f t="shared" si="1"/>
        <v>2.2901111676662032</v>
      </c>
      <c r="E56">
        <f t="shared" si="2"/>
        <v>-0.35539734406951329</v>
      </c>
    </row>
    <row r="57" spans="1:5" x14ac:dyDescent="0.25">
      <c r="A57" s="1">
        <v>43891</v>
      </c>
      <c r="B57">
        <v>259.74392999999998</v>
      </c>
      <c r="C57">
        <f t="shared" si="0"/>
        <v>2.0019193695156146</v>
      </c>
      <c r="D57">
        <f t="shared" si="1"/>
        <v>2.1286905839596026</v>
      </c>
      <c r="E57">
        <f t="shared" si="2"/>
        <v>-0.12677121444398809</v>
      </c>
    </row>
    <row r="58" spans="1:5" x14ac:dyDescent="0.25">
      <c r="A58" s="1">
        <v>43983</v>
      </c>
      <c r="B58">
        <v>261.13720999999998</v>
      </c>
      <c r="C58">
        <f t="shared" si="0"/>
        <v>1.9539614811834749</v>
      </c>
      <c r="D58">
        <f t="shared" si="1"/>
        <v>2.0500451126134633</v>
      </c>
      <c r="E58">
        <f t="shared" si="2"/>
        <v>-9.6083631429988436E-2</v>
      </c>
    </row>
    <row r="59" spans="1:5" x14ac:dyDescent="0.25">
      <c r="A59" s="1">
        <v>44075</v>
      </c>
      <c r="B59">
        <v>262.55973999999998</v>
      </c>
      <c r="C59">
        <f t="shared" si="0"/>
        <v>1.95528656702042</v>
      </c>
      <c r="D59">
        <f t="shared" si="1"/>
        <v>1.9748006844576671</v>
      </c>
      <c r="E59">
        <f t="shared" si="2"/>
        <v>-1.9514117437247069E-2</v>
      </c>
    </row>
    <row r="60" spans="1:5" x14ac:dyDescent="0.25">
      <c r="A60" s="1">
        <v>44166</v>
      </c>
      <c r="B60">
        <v>264.52298000000002</v>
      </c>
      <c r="C60">
        <f t="shared" si="0"/>
        <v>2.2801939218672684</v>
      </c>
      <c r="D60">
        <f t="shared" si="1"/>
        <v>1.9614703103290498</v>
      </c>
      <c r="E60">
        <f t="shared" si="2"/>
        <v>0.3187236115382186</v>
      </c>
    </row>
    <row r="61" spans="1:5" x14ac:dyDescent="0.25">
      <c r="A61" s="1">
        <v>44256</v>
      </c>
      <c r="B61">
        <v>266.50148330000002</v>
      </c>
      <c r="C61">
        <f t="shared" si="0"/>
        <v>2.6016212582908205</v>
      </c>
      <c r="D61">
        <f t="shared" si="1"/>
        <v>2.0478403348966943</v>
      </c>
      <c r="E61">
        <f t="shared" si="2"/>
        <v>0.55378092339412621</v>
      </c>
    </row>
    <row r="62" spans="1:5" x14ac:dyDescent="0.25">
      <c r="A62" s="1">
        <v>44348</v>
      </c>
      <c r="B62">
        <v>268.26915330000003</v>
      </c>
      <c r="C62">
        <f t="shared" si="0"/>
        <v>2.7311095573089972</v>
      </c>
      <c r="D62">
        <f t="shared" si="1"/>
        <v>2.1977658070904962</v>
      </c>
      <c r="E62">
        <f t="shared" si="2"/>
        <v>0.533343750218501</v>
      </c>
    </row>
    <row r="63" spans="1:5" x14ac:dyDescent="0.25">
      <c r="A63" s="1">
        <v>44440</v>
      </c>
      <c r="B63">
        <v>269.9800467</v>
      </c>
      <c r="C63">
        <f t="shared" si="0"/>
        <v>2.8261403290542608</v>
      </c>
      <c r="D63">
        <f t="shared" si="1"/>
        <v>2.3920528261218763</v>
      </c>
      <c r="E63">
        <f t="shared" si="2"/>
        <v>0.43408750293238452</v>
      </c>
    </row>
    <row r="64" spans="1:5" x14ac:dyDescent="0.25">
      <c r="A64" s="1">
        <v>44531</v>
      </c>
      <c r="B64">
        <v>272.82904000000002</v>
      </c>
      <c r="C64">
        <f t="shared" si="0"/>
        <v>3.1400145272822755</v>
      </c>
      <c r="D64">
        <f t="shared" si="1"/>
        <v>2.609766266630337</v>
      </c>
      <c r="E64">
        <f t="shared" si="2"/>
        <v>0.53024826065193853</v>
      </c>
    </row>
    <row r="65" spans="1:5" x14ac:dyDescent="0.25">
      <c r="A65" s="1">
        <v>44621</v>
      </c>
      <c r="B65">
        <v>277.00576999999998</v>
      </c>
      <c r="C65">
        <f t="shared" si="0"/>
        <v>3.941549056286231</v>
      </c>
      <c r="D65">
        <f t="shared" si="1"/>
        <v>2.8247214179840885</v>
      </c>
      <c r="E65">
        <f t="shared" si="2"/>
        <v>1.1168276383021425</v>
      </c>
    </row>
    <row r="66" spans="1:5" x14ac:dyDescent="0.25">
      <c r="A66" s="1">
        <v>44713</v>
      </c>
      <c r="B66">
        <v>283.29858999999999</v>
      </c>
      <c r="C66">
        <f t="shared" si="0"/>
        <v>5.6023722873545845</v>
      </c>
      <c r="D66">
        <f t="shared" si="1"/>
        <v>3.1597033674829413</v>
      </c>
      <c r="E66">
        <f t="shared" si="2"/>
        <v>2.4426689198716431</v>
      </c>
    </row>
    <row r="67" spans="1:5" x14ac:dyDescent="0.25">
      <c r="A67" s="1">
        <v>44805</v>
      </c>
      <c r="B67">
        <v>289.78011670000001</v>
      </c>
      <c r="C67">
        <f t="shared" si="0"/>
        <v>7.3339012427098726</v>
      </c>
      <c r="D67">
        <f t="shared" si="1"/>
        <v>3.8775190499943379</v>
      </c>
      <c r="E67">
        <f t="shared" si="2"/>
        <v>3.4563821927155347</v>
      </c>
    </row>
    <row r="68" spans="1:5" x14ac:dyDescent="0.25">
      <c r="A68" s="1">
        <v>44896</v>
      </c>
      <c r="B68">
        <v>295.03643670000002</v>
      </c>
      <c r="C68">
        <f t="shared" si="0"/>
        <v>8.139674830802468</v>
      </c>
      <c r="D68">
        <f t="shared" si="1"/>
        <v>5.0044592784082411</v>
      </c>
      <c r="E68">
        <f t="shared" si="2"/>
        <v>3.1352155523942269</v>
      </c>
    </row>
    <row r="69" spans="1:5" x14ac:dyDescent="0.25">
      <c r="A69" s="1">
        <v>44986</v>
      </c>
      <c r="B69">
        <v>298.8864567</v>
      </c>
      <c r="C69">
        <f t="shared" si="0"/>
        <v>7.8990003349027837</v>
      </c>
      <c r="D69">
        <f t="shared" si="1"/>
        <v>6.2543743542882897</v>
      </c>
      <c r="E69">
        <f t="shared" si="2"/>
        <v>1.6446259806144941</v>
      </c>
    </row>
    <row r="70" spans="1:5" x14ac:dyDescent="0.25">
      <c r="A70" s="1">
        <v>45078</v>
      </c>
      <c r="B70">
        <v>302.07290669999998</v>
      </c>
      <c r="C70">
        <f t="shared" si="0"/>
        <v>6.6270420548157238</v>
      </c>
      <c r="D70">
        <f t="shared" si="1"/>
        <v>7.243737173942427</v>
      </c>
      <c r="E70">
        <f t="shared" si="2"/>
        <v>-0.61669511912670316</v>
      </c>
    </row>
    <row r="71" spans="1:5" x14ac:dyDescent="0.25">
      <c r="A71" s="1">
        <v>45170</v>
      </c>
      <c r="B71">
        <v>305.4326433</v>
      </c>
      <c r="C71">
        <f t="shared" ref="C71:C79" si="3">((B71/B67)-1)*100</f>
        <v>5.4015184955579665</v>
      </c>
      <c r="D71">
        <f t="shared" si="1"/>
        <v>7.4999046158077123</v>
      </c>
      <c r="E71">
        <f t="shared" si="2"/>
        <v>-2.0983861202497458</v>
      </c>
    </row>
    <row r="72" spans="1:5" x14ac:dyDescent="0.25">
      <c r="A72" s="1">
        <v>45261</v>
      </c>
      <c r="B72">
        <v>309.02900670000002</v>
      </c>
      <c r="C72">
        <f t="shared" si="3"/>
        <v>4.7426582819761975</v>
      </c>
      <c r="D72">
        <f t="shared" si="1"/>
        <v>7.0168089290197351</v>
      </c>
      <c r="E72">
        <f t="shared" si="2"/>
        <v>-2.2741506470435375</v>
      </c>
    </row>
    <row r="73" spans="1:5" x14ac:dyDescent="0.25">
      <c r="A73" s="1">
        <v>45352</v>
      </c>
      <c r="B73">
        <v>309.89954999999998</v>
      </c>
      <c r="C73">
        <f t="shared" si="3"/>
        <v>3.6847080398340282</v>
      </c>
      <c r="D73">
        <f t="shared" si="1"/>
        <v>6.1675547918131679</v>
      </c>
      <c r="E73">
        <f t="shared" si="2"/>
        <v>-2.4828467519791397</v>
      </c>
    </row>
    <row r="74" spans="1:5" x14ac:dyDescent="0.25">
      <c r="A74" s="1">
        <v>45444</v>
      </c>
      <c r="B74">
        <v>310.93436000000003</v>
      </c>
      <c r="C74">
        <f t="shared" si="3"/>
        <v>2.9335478632649181</v>
      </c>
      <c r="D74">
        <f t="shared" si="1"/>
        <v>5.113981718045979</v>
      </c>
      <c r="E74">
        <f t="shared" si="2"/>
        <v>-2.1804338547810609</v>
      </c>
    </row>
    <row r="75" spans="1:5" x14ac:dyDescent="0.25">
      <c r="A75" s="1">
        <v>45536</v>
      </c>
      <c r="B75">
        <v>312.25083999999998</v>
      </c>
      <c r="C75">
        <f t="shared" si="3"/>
        <v>2.232307793408661</v>
      </c>
      <c r="D75">
        <f t="shared" ref="D75:D79" si="4">AVERAGE(C71:C74)</f>
        <v>4.1906081701582778</v>
      </c>
      <c r="E75">
        <f t="shared" ref="E75:E79" si="5">C75-D75</f>
        <v>-1.9583003767496168</v>
      </c>
    </row>
    <row r="76" spans="1:5" x14ac:dyDescent="0.25">
      <c r="A76" s="1">
        <v>45627</v>
      </c>
      <c r="B76">
        <v>314.14589999999998</v>
      </c>
      <c r="C76">
        <f t="shared" si="3"/>
        <v>1.6557970899370389</v>
      </c>
      <c r="D76">
        <f t="shared" si="4"/>
        <v>3.398305494620951</v>
      </c>
      <c r="E76">
        <f t="shared" si="5"/>
        <v>-1.7425084046839121</v>
      </c>
    </row>
    <row r="77" spans="1:5" x14ac:dyDescent="0.25">
      <c r="A77" s="1">
        <v>45717</v>
      </c>
      <c r="B77">
        <v>315.13315999999998</v>
      </c>
      <c r="C77">
        <f t="shared" si="3"/>
        <v>1.688808518760343</v>
      </c>
      <c r="D77">
        <f t="shared" si="4"/>
        <v>2.6265901966111613</v>
      </c>
      <c r="E77">
        <f t="shared" si="5"/>
        <v>-0.93778167785081834</v>
      </c>
    </row>
    <row r="78" spans="1:5" x14ac:dyDescent="0.25">
      <c r="A78" s="1">
        <v>45809</v>
      </c>
      <c r="B78">
        <v>316.40303</v>
      </c>
      <c r="C78">
        <f t="shared" si="3"/>
        <v>1.7587860022932</v>
      </c>
      <c r="D78">
        <f t="shared" si="4"/>
        <v>2.12761531634274</v>
      </c>
      <c r="E78">
        <f t="shared" si="5"/>
        <v>-0.36882931404954</v>
      </c>
    </row>
    <row r="79" spans="1:5" x14ac:dyDescent="0.25">
      <c r="A79" s="1">
        <v>45901</v>
      </c>
      <c r="B79">
        <v>317.69929330000002</v>
      </c>
      <c r="C79">
        <f t="shared" si="3"/>
        <v>1.7448962827449899</v>
      </c>
      <c r="D79">
        <f t="shared" si="4"/>
        <v>1.8339248510998107</v>
      </c>
      <c r="E79">
        <f t="shared" si="5"/>
        <v>-8.902856835482087E-2</v>
      </c>
    </row>
    <row r="80" spans="1:5" x14ac:dyDescent="0.25">
      <c r="A80" s="1">
        <v>45992</v>
      </c>
      <c r="B80">
        <v>318.98951</v>
      </c>
      <c r="C80">
        <f t="shared" ref="C80:C82" si="6">((B80/B76)-1)*100</f>
        <v>1.5418345424848878</v>
      </c>
      <c r="D80">
        <f t="shared" ref="D80:D82" si="7">AVERAGE(C76:C79)</f>
        <v>1.7120719734338929</v>
      </c>
      <c r="E80">
        <f t="shared" ref="E80:E82" si="8">C80-D80</f>
        <v>-0.17023743094900512</v>
      </c>
    </row>
    <row r="81" spans="1:5" x14ac:dyDescent="0.25">
      <c r="A81" s="1">
        <v>46082</v>
      </c>
      <c r="B81">
        <v>320.43991</v>
      </c>
      <c r="C81">
        <f t="shared" si="6"/>
        <v>1.6839706744920191</v>
      </c>
      <c r="D81">
        <f t="shared" si="7"/>
        <v>1.6835813365708552</v>
      </c>
      <c r="E81">
        <f t="shared" si="8"/>
        <v>3.8933792116391253E-4</v>
      </c>
    </row>
    <row r="82" spans="1:5" x14ac:dyDescent="0.25">
      <c r="A82" s="1">
        <v>46174</v>
      </c>
      <c r="B82">
        <v>322.28309330000002</v>
      </c>
      <c r="C82">
        <f t="shared" si="6"/>
        <v>1.8584092889375903</v>
      </c>
      <c r="D82">
        <f t="shared" si="7"/>
        <v>1.6823718755037742</v>
      </c>
      <c r="E82">
        <f t="shared" si="8"/>
        <v>0.17603741343381607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Quarterly_data</vt:lpstr>
      <vt:lpstr>GDP</vt:lpstr>
      <vt:lpstr>flow</vt:lpstr>
      <vt:lpstr>stock</vt:lpstr>
      <vt:lpstr>i</vt:lpstr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Giovany Orenos Rodriguez</dc:creator>
  <cp:lastModifiedBy>JGOR</cp:lastModifiedBy>
  <dcterms:created xsi:type="dcterms:W3CDTF">2026-03-25T21:29:42Z</dcterms:created>
  <dcterms:modified xsi:type="dcterms:W3CDTF">2026-10-16T19:34:03Z</dcterms:modified>
</cp:coreProperties>
</file>