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mc:Ignorable="x15 xr xr6 xr10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GOR\Documents\2026\github\FiscalPolicyAnalysis\data\processing\"/>
    </mc:Choice>
  </mc:AlternateContent>
  <xr:revisionPtr revIDLastSave="0" documentId="8_{1CE3CC11-45BC-4C48-8A84-D06C68D1E533}" xr6:coauthVersionLast="47" xr6:coauthVersionMax="47" xr10:uidLastSave="{00000000-0000-0000-0000-000000000000}"/>
  <bookViews>
    <workbookView xWindow="-120" yWindow="-120" windowWidth="29040" windowHeight="15720" activeTab="5"/>
  </bookViews>
  <sheets>
    <sheet name="Quarterly_data" sheetId="1" r:id="rId1"/>
    <sheet name="flow" sheetId="2" r:id="rId2"/>
    <sheet name="stock" sheetId="4" r:id="rId3"/>
    <sheet name="i" sheetId="5" r:id="rId4"/>
    <sheet name="cpi" sheetId="6" r:id="rId5"/>
    <sheet name="ola_check" sheetId="7" r:id="rId6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79" i="7" l="1"/>
  <c r="F78" i="7"/>
  <c r="F77" i="7"/>
  <c r="F76" i="7"/>
  <c r="F75" i="7"/>
  <c r="F74" i="7"/>
  <c r="F73" i="7"/>
  <c r="F72" i="7"/>
  <c r="F71" i="7"/>
  <c r="F70" i="7"/>
  <c r="F69" i="7"/>
  <c r="F68" i="7"/>
  <c r="F67" i="7"/>
  <c r="F66" i="7"/>
  <c r="F65" i="7"/>
  <c r="F64" i="7"/>
  <c r="F63" i="7"/>
  <c r="F62" i="7"/>
  <c r="F61" i="7"/>
  <c r="F60" i="7"/>
  <c r="F59" i="7"/>
  <c r="F58" i="7"/>
  <c r="F57" i="7"/>
  <c r="F56" i="7"/>
  <c r="F55" i="7"/>
  <c r="F54" i="7"/>
  <c r="F53" i="7"/>
  <c r="F52" i="7"/>
  <c r="F51" i="7"/>
  <c r="F50" i="7"/>
  <c r="F49" i="7"/>
  <c r="F48" i="7"/>
  <c r="F47" i="7"/>
  <c r="F46" i="7"/>
  <c r="F45" i="7"/>
  <c r="F44" i="7"/>
  <c r="F43" i="7"/>
  <c r="F42" i="7"/>
  <c r="F41" i="7"/>
  <c r="F40" i="7"/>
  <c r="F39" i="7"/>
  <c r="F38" i="7"/>
  <c r="F37" i="7"/>
  <c r="F36" i="7"/>
  <c r="F35" i="7"/>
  <c r="F34" i="7"/>
  <c r="F33" i="7"/>
  <c r="F32" i="7"/>
  <c r="F31" i="7"/>
  <c r="F30" i="7"/>
  <c r="F29" i="7"/>
  <c r="F28" i="7"/>
  <c r="F27" i="7"/>
  <c r="F26" i="7"/>
  <c r="F25" i="7"/>
  <c r="F24" i="7"/>
  <c r="F23" i="7"/>
  <c r="F22" i="7"/>
  <c r="F21" i="7"/>
  <c r="F20" i="7"/>
  <c r="F19" i="7"/>
  <c r="F18" i="7"/>
  <c r="F17" i="7"/>
  <c r="F16" i="7"/>
  <c r="F15" i="7"/>
  <c r="F14" i="7"/>
  <c r="F13" i="7"/>
  <c r="E79" i="7"/>
  <c r="E78" i="7"/>
  <c r="E77" i="7"/>
  <c r="E76" i="7"/>
  <c r="E75" i="7"/>
  <c r="E74" i="7"/>
  <c r="E73" i="7"/>
  <c r="E72" i="7"/>
  <c r="E71" i="7"/>
  <c r="E70" i="7"/>
  <c r="E69" i="7"/>
  <c r="E68" i="7"/>
  <c r="E67" i="7"/>
  <c r="E66" i="7"/>
  <c r="E65" i="7"/>
  <c r="E64" i="7"/>
  <c r="E63" i="7"/>
  <c r="E62" i="7"/>
  <c r="E61" i="7"/>
  <c r="E60" i="7"/>
  <c r="E59" i="7"/>
  <c r="E58" i="7"/>
  <c r="E57" i="7"/>
  <c r="E56" i="7"/>
  <c r="E55" i="7"/>
  <c r="E54" i="7"/>
  <c r="E53" i="7"/>
  <c r="E52" i="7"/>
  <c r="E51" i="7"/>
  <c r="E50" i="7"/>
  <c r="E49" i="7"/>
  <c r="E48" i="7"/>
  <c r="E47" i="7"/>
  <c r="E46" i="7"/>
  <c r="E45" i="7"/>
  <c r="E44" i="7"/>
  <c r="E43" i="7"/>
  <c r="E42" i="7"/>
  <c r="E41" i="7"/>
  <c r="E40" i="7"/>
  <c r="E39" i="7"/>
  <c r="E38" i="7"/>
  <c r="E37" i="7"/>
  <c r="E36" i="7"/>
  <c r="E35" i="7"/>
  <c r="E34" i="7"/>
  <c r="E33" i="7"/>
  <c r="E32" i="7"/>
  <c r="E31" i="7"/>
  <c r="E30" i="7"/>
  <c r="E29" i="7"/>
  <c r="E28" i="7"/>
  <c r="E27" i="7"/>
  <c r="E26" i="7"/>
  <c r="E25" i="7"/>
  <c r="E24" i="7"/>
  <c r="E23" i="7"/>
  <c r="E22" i="7"/>
  <c r="E21" i="7"/>
  <c r="E20" i="7"/>
  <c r="E19" i="7"/>
  <c r="E18" i="7"/>
  <c r="E17" i="7"/>
  <c r="E16" i="7"/>
  <c r="E15" i="7"/>
  <c r="E14" i="7"/>
  <c r="E13" i="7"/>
  <c r="D79" i="7"/>
  <c r="D78" i="7"/>
  <c r="D77" i="7"/>
  <c r="D76" i="7"/>
  <c r="D75" i="7"/>
  <c r="D74" i="7"/>
  <c r="D73" i="7"/>
  <c r="D72" i="7"/>
  <c r="D71" i="7"/>
  <c r="D70" i="7"/>
  <c r="D69" i="7"/>
  <c r="D68" i="7"/>
  <c r="D67" i="7"/>
  <c r="D66" i="7"/>
  <c r="D65" i="7"/>
  <c r="D64" i="7"/>
  <c r="D63" i="7"/>
  <c r="D62" i="7"/>
  <c r="D61" i="7"/>
  <c r="D60" i="7"/>
  <c r="D59" i="7"/>
  <c r="D58" i="7"/>
  <c r="D57" i="7"/>
  <c r="D56" i="7"/>
  <c r="D55" i="7"/>
  <c r="D54" i="7"/>
  <c r="D53" i="7"/>
  <c r="D52" i="7"/>
  <c r="D51" i="7"/>
  <c r="D50" i="7"/>
  <c r="D49" i="7"/>
  <c r="D48" i="7"/>
  <c r="D47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D12" i="7"/>
  <c r="D11" i="7"/>
  <c r="D10" i="7"/>
  <c r="D9" i="7"/>
  <c r="D1" i="7"/>
  <c r="C79" i="7"/>
  <c r="C78" i="7"/>
  <c r="C77" i="7"/>
  <c r="C76" i="7"/>
  <c r="C75" i="7"/>
  <c r="C74" i="7"/>
  <c r="C73" i="7"/>
  <c r="C72" i="7"/>
  <c r="C71" i="7"/>
  <c r="C70" i="7"/>
  <c r="C69" i="7"/>
  <c r="C68" i="7"/>
  <c r="C67" i="7"/>
  <c r="C66" i="7"/>
  <c r="C65" i="7"/>
  <c r="C64" i="7"/>
  <c r="C63" i="7"/>
  <c r="C62" i="7"/>
  <c r="C61" i="7"/>
  <c r="C60" i="7"/>
  <c r="C59" i="7"/>
  <c r="C58" i="7"/>
  <c r="C57" i="7"/>
  <c r="C56" i="7"/>
  <c r="C55" i="7"/>
  <c r="C54" i="7"/>
  <c r="C53" i="7"/>
  <c r="C52" i="7"/>
  <c r="C51" i="7"/>
  <c r="C50" i="7"/>
  <c r="C49" i="7"/>
  <c r="C48" i="7"/>
  <c r="C47" i="7"/>
  <c r="C46" i="7"/>
  <c r="C45" i="7"/>
  <c r="C44" i="7"/>
  <c r="C43" i="7"/>
  <c r="C42" i="7"/>
  <c r="C41" i="7"/>
  <c r="C40" i="7"/>
  <c r="C39" i="7"/>
  <c r="C38" i="7"/>
  <c r="C37" i="7"/>
  <c r="C36" i="7"/>
  <c r="C35" i="7"/>
  <c r="C34" i="7"/>
  <c r="C33" i="7"/>
  <c r="C32" i="7"/>
  <c r="C31" i="7"/>
  <c r="C30" i="7"/>
  <c r="C29" i="7"/>
  <c r="C28" i="7"/>
  <c r="C27" i="7"/>
  <c r="C26" i="7"/>
  <c r="C25" i="7"/>
  <c r="C24" i="7"/>
  <c r="C23" i="7"/>
  <c r="C22" i="7"/>
  <c r="C21" i="7"/>
  <c r="C20" i="7"/>
  <c r="C19" i="7"/>
  <c r="C18" i="7"/>
  <c r="C17" i="7"/>
  <c r="C16" i="7"/>
  <c r="C15" i="7"/>
  <c r="C14" i="7"/>
  <c r="C13" i="7"/>
  <c r="C12" i="7"/>
  <c r="C11" i="7"/>
  <c r="C10" i="7"/>
  <c r="C9" i="7"/>
  <c r="C8" i="7"/>
  <c r="C7" i="7"/>
  <c r="C6" i="7"/>
  <c r="C5" i="7"/>
  <c r="C1" i="7"/>
  <c r="E79" i="6"/>
  <c r="E78" i="6"/>
  <c r="E77" i="6"/>
  <c r="E76" i="6"/>
  <c r="E75" i="6"/>
  <c r="E74" i="6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E38" i="6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D79" i="6"/>
  <c r="D78" i="6"/>
  <c r="D77" i="6"/>
  <c r="D76" i="6"/>
  <c r="D75" i="6"/>
  <c r="D74" i="6"/>
  <c r="D73" i="6"/>
  <c r="D72" i="6"/>
  <c r="D71" i="6"/>
  <c r="D70" i="6"/>
  <c r="D69" i="6"/>
  <c r="D68" i="6"/>
  <c r="D67" i="6"/>
  <c r="D66" i="6"/>
  <c r="D65" i="6"/>
  <c r="D64" i="6"/>
  <c r="D63" i="6"/>
  <c r="D62" i="6"/>
  <c r="D61" i="6"/>
  <c r="D60" i="6"/>
  <c r="D59" i="6"/>
  <c r="D58" i="6"/>
  <c r="D57" i="6"/>
  <c r="D56" i="6"/>
  <c r="D55" i="6"/>
  <c r="D54" i="6"/>
  <c r="D53" i="6"/>
  <c r="D52" i="6"/>
  <c r="D51" i="6"/>
  <c r="D50" i="6"/>
  <c r="D49" i="6"/>
  <c r="D48" i="6"/>
  <c r="D47" i="6"/>
  <c r="D46" i="6"/>
  <c r="D45" i="6"/>
  <c r="D44" i="6"/>
  <c r="D43" i="6"/>
  <c r="D42" i="6"/>
  <c r="D41" i="6"/>
  <c r="D40" i="6"/>
  <c r="D39" i="6"/>
  <c r="D38" i="6"/>
  <c r="D37" i="6"/>
  <c r="D36" i="6"/>
  <c r="D35" i="6"/>
  <c r="D34" i="6"/>
  <c r="D33" i="6"/>
  <c r="D32" i="6"/>
  <c r="D31" i="6"/>
  <c r="D30" i="6"/>
  <c r="D29" i="6"/>
  <c r="D28" i="6"/>
  <c r="D27" i="6"/>
  <c r="D26" i="6"/>
  <c r="D25" i="6"/>
  <c r="D24" i="6"/>
  <c r="D23" i="6"/>
  <c r="D22" i="6"/>
  <c r="D21" i="6"/>
  <c r="D20" i="6"/>
  <c r="D19" i="6"/>
  <c r="D18" i="6"/>
  <c r="D17" i="6"/>
  <c r="D16" i="6"/>
  <c r="D15" i="6"/>
  <c r="D14" i="6"/>
  <c r="D13" i="6"/>
  <c r="D12" i="6"/>
  <c r="D11" i="6"/>
  <c r="D10" i="6"/>
  <c r="C79" i="6"/>
  <c r="C78" i="6"/>
  <c r="C77" i="6"/>
  <c r="C76" i="6"/>
  <c r="C75" i="6"/>
  <c r="C74" i="6"/>
  <c r="C73" i="6"/>
  <c r="C72" i="6"/>
  <c r="C71" i="6"/>
  <c r="C70" i="6"/>
  <c r="C69" i="6"/>
  <c r="C68" i="6"/>
  <c r="C67" i="6"/>
  <c r="C66" i="6"/>
  <c r="C65" i="6"/>
  <c r="C64" i="6"/>
  <c r="C63" i="6"/>
  <c r="C62" i="6"/>
  <c r="C61" i="6"/>
  <c r="C60" i="6"/>
  <c r="C59" i="6"/>
  <c r="C58" i="6"/>
  <c r="C57" i="6"/>
  <c r="C56" i="6"/>
  <c r="C55" i="6"/>
  <c r="C54" i="6"/>
  <c r="C53" i="6"/>
  <c r="C52" i="6"/>
  <c r="C51" i="6"/>
  <c r="C50" i="6"/>
  <c r="C49" i="6"/>
  <c r="C48" i="6"/>
  <c r="C47" i="6"/>
  <c r="C46" i="6"/>
  <c r="C45" i="6"/>
  <c r="C44" i="6"/>
  <c r="C43" i="6"/>
  <c r="C42" i="6"/>
  <c r="C41" i="6"/>
  <c r="C40" i="6"/>
  <c r="C39" i="6"/>
  <c r="C38" i="6"/>
  <c r="C37" i="6"/>
  <c r="C36" i="6"/>
  <c r="C35" i="6"/>
  <c r="C34" i="6"/>
  <c r="C33" i="6"/>
  <c r="C32" i="6"/>
  <c r="C31" i="6"/>
  <c r="C30" i="6"/>
  <c r="C29" i="6"/>
  <c r="C28" i="6"/>
  <c r="C27" i="6"/>
  <c r="C26" i="6"/>
  <c r="C25" i="6"/>
  <c r="C24" i="6"/>
  <c r="C23" i="6"/>
  <c r="C22" i="6"/>
  <c r="C21" i="6"/>
  <c r="C20" i="6"/>
  <c r="C19" i="6"/>
  <c r="C18" i="6"/>
  <c r="C17" i="6"/>
  <c r="C16" i="6"/>
  <c r="C15" i="6"/>
  <c r="C14" i="6"/>
  <c r="C13" i="6"/>
  <c r="C12" i="6"/>
  <c r="C11" i="6"/>
  <c r="C10" i="6"/>
  <c r="C9" i="6"/>
  <c r="C8" i="6"/>
  <c r="C7" i="6"/>
  <c r="C6" i="6"/>
  <c r="C1" i="6"/>
  <c r="D79" i="5"/>
  <c r="D78" i="5"/>
  <c r="D77" i="5"/>
  <c r="D76" i="5"/>
  <c r="D75" i="5"/>
  <c r="D74" i="5"/>
  <c r="D73" i="5"/>
  <c r="D72" i="5"/>
  <c r="D71" i="5"/>
  <c r="D70" i="5"/>
  <c r="D69" i="5"/>
  <c r="D68" i="5"/>
  <c r="D67" i="5"/>
  <c r="D66" i="5"/>
  <c r="D65" i="5"/>
  <c r="D64" i="5"/>
  <c r="D63" i="5"/>
  <c r="D62" i="5"/>
  <c r="D61" i="5"/>
  <c r="D60" i="5"/>
  <c r="D59" i="5"/>
  <c r="D58" i="5"/>
  <c r="D57" i="5"/>
  <c r="D56" i="5"/>
  <c r="D55" i="5"/>
  <c r="D54" i="5"/>
  <c r="D53" i="5"/>
  <c r="D52" i="5"/>
  <c r="D51" i="5"/>
  <c r="D50" i="5"/>
  <c r="D49" i="5"/>
  <c r="D48" i="5"/>
  <c r="D47" i="5"/>
  <c r="D46" i="5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6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1" i="5"/>
  <c r="D79" i="4"/>
  <c r="F79" i="4" s="1"/>
  <c r="D78" i="4"/>
  <c r="F78" i="4" s="1"/>
  <c r="D77" i="4"/>
  <c r="F77" i="4" s="1"/>
  <c r="D76" i="4"/>
  <c r="F76" i="4" s="1"/>
  <c r="D75" i="4"/>
  <c r="F75" i="4" s="1"/>
  <c r="D74" i="4"/>
  <c r="D73" i="4"/>
  <c r="F73" i="4" s="1"/>
  <c r="D72" i="4"/>
  <c r="F72" i="4" s="1"/>
  <c r="D71" i="4"/>
  <c r="F71" i="4" s="1"/>
  <c r="D70" i="4"/>
  <c r="D69" i="4"/>
  <c r="D68" i="4"/>
  <c r="F68" i="4" s="1"/>
  <c r="D67" i="4"/>
  <c r="F67" i="4" s="1"/>
  <c r="D66" i="4"/>
  <c r="F66" i="4" s="1"/>
  <c r="D65" i="4"/>
  <c r="F65" i="4" s="1"/>
  <c r="D64" i="4"/>
  <c r="F64" i="4" s="1"/>
  <c r="D63" i="4"/>
  <c r="F63" i="4" s="1"/>
  <c r="D62" i="4"/>
  <c r="F62" i="4" s="1"/>
  <c r="D61" i="4"/>
  <c r="F61" i="4" s="1"/>
  <c r="D60" i="4"/>
  <c r="F60" i="4" s="1"/>
  <c r="D59" i="4"/>
  <c r="D58" i="4"/>
  <c r="F58" i="4" s="1"/>
  <c r="D57" i="4"/>
  <c r="D56" i="4"/>
  <c r="D55" i="4"/>
  <c r="D54" i="4"/>
  <c r="D53" i="4"/>
  <c r="F53" i="4" s="1"/>
  <c r="D52" i="4"/>
  <c r="F52" i="4" s="1"/>
  <c r="D51" i="4"/>
  <c r="F51" i="4" s="1"/>
  <c r="D50" i="4"/>
  <c r="F50" i="4" s="1"/>
  <c r="D49" i="4"/>
  <c r="F49" i="4" s="1"/>
  <c r="D48" i="4"/>
  <c r="F48" i="4" s="1"/>
  <c r="D47" i="4"/>
  <c r="F47" i="4" s="1"/>
  <c r="D46" i="4"/>
  <c r="F46" i="4" s="1"/>
  <c r="D45" i="4"/>
  <c r="F45" i="4" s="1"/>
  <c r="D44" i="4"/>
  <c r="F44" i="4" s="1"/>
  <c r="D43" i="4"/>
  <c r="F43" i="4" s="1"/>
  <c r="D42" i="4"/>
  <c r="F42" i="4" s="1"/>
  <c r="D41" i="4"/>
  <c r="F41" i="4" s="1"/>
  <c r="D40" i="4"/>
  <c r="F40" i="4" s="1"/>
  <c r="D39" i="4"/>
  <c r="D38" i="4"/>
  <c r="F38" i="4" s="1"/>
  <c r="D37" i="4"/>
  <c r="D36" i="4"/>
  <c r="D35" i="4"/>
  <c r="F35" i="4" s="1"/>
  <c r="D34" i="4"/>
  <c r="F34" i="4" s="1"/>
  <c r="D33" i="4"/>
  <c r="F33" i="4" s="1"/>
  <c r="D32" i="4"/>
  <c r="F32" i="4" s="1"/>
  <c r="D31" i="4"/>
  <c r="F31" i="4" s="1"/>
  <c r="D30" i="4"/>
  <c r="F30" i="4" s="1"/>
  <c r="D29" i="4"/>
  <c r="F29" i="4" s="1"/>
  <c r="D28" i="4"/>
  <c r="F28" i="4" s="1"/>
  <c r="D27" i="4"/>
  <c r="F27" i="4" s="1"/>
  <c r="D26" i="4"/>
  <c r="F26" i="4" s="1"/>
  <c r="D25" i="4"/>
  <c r="F25" i="4" s="1"/>
  <c r="D24" i="4"/>
  <c r="F24" i="4" s="1"/>
  <c r="D23" i="4"/>
  <c r="F23" i="4" s="1"/>
  <c r="D22" i="4"/>
  <c r="F22" i="4" s="1"/>
  <c r="D21" i="4"/>
  <c r="F21" i="4" s="1"/>
  <c r="D20" i="4"/>
  <c r="F20" i="4" s="1"/>
  <c r="D19" i="4"/>
  <c r="D18" i="4"/>
  <c r="F18" i="4" s="1"/>
  <c r="D17" i="4"/>
  <c r="F17" i="4" s="1"/>
  <c r="D16" i="4"/>
  <c r="F16" i="4" s="1"/>
  <c r="D15" i="4"/>
  <c r="F15" i="4" s="1"/>
  <c r="D14" i="4"/>
  <c r="F14" i="4" s="1"/>
  <c r="D13" i="4"/>
  <c r="F13" i="4" s="1"/>
  <c r="D12" i="4"/>
  <c r="F12" i="4" s="1"/>
  <c r="D11" i="4"/>
  <c r="F11" i="4" s="1"/>
  <c r="D10" i="4"/>
  <c r="F10" i="4" s="1"/>
  <c r="D9" i="4"/>
  <c r="F9" i="4" s="1"/>
  <c r="D8" i="4"/>
  <c r="F8" i="4" s="1"/>
  <c r="D7" i="4"/>
  <c r="D6" i="4"/>
  <c r="F6" i="4" s="1"/>
  <c r="D5" i="4"/>
  <c r="F5" i="4" s="1"/>
  <c r="D1" i="4"/>
  <c r="D1" i="2"/>
  <c r="E79" i="4"/>
  <c r="E78" i="4"/>
  <c r="E77" i="4"/>
  <c r="E76" i="4"/>
  <c r="E75" i="4"/>
  <c r="E74" i="4"/>
  <c r="F74" i="4"/>
  <c r="E73" i="4"/>
  <c r="E72" i="4"/>
  <c r="E71" i="4"/>
  <c r="E70" i="4"/>
  <c r="F70" i="4"/>
  <c r="E69" i="4"/>
  <c r="F69" i="4"/>
  <c r="E68" i="4"/>
  <c r="E67" i="4"/>
  <c r="E66" i="4"/>
  <c r="E65" i="4"/>
  <c r="E64" i="4"/>
  <c r="E63" i="4"/>
  <c r="E62" i="4"/>
  <c r="E61" i="4"/>
  <c r="E60" i="4"/>
  <c r="F59" i="4"/>
  <c r="E59" i="4"/>
  <c r="E58" i="4"/>
  <c r="E57" i="4"/>
  <c r="F57" i="4"/>
  <c r="E56" i="4"/>
  <c r="F56" i="4"/>
  <c r="F55" i="4"/>
  <c r="E55" i="4"/>
  <c r="E54" i="4"/>
  <c r="F54" i="4"/>
  <c r="E53" i="4"/>
  <c r="E52" i="4"/>
  <c r="E51" i="4"/>
  <c r="E50" i="4"/>
  <c r="E49" i="4"/>
  <c r="E48" i="4"/>
  <c r="E47" i="4"/>
  <c r="E46" i="4"/>
  <c r="E45" i="4"/>
  <c r="E44" i="4"/>
  <c r="E43" i="4"/>
  <c r="E42" i="4"/>
  <c r="E41" i="4"/>
  <c r="E40" i="4"/>
  <c r="F39" i="4"/>
  <c r="E39" i="4"/>
  <c r="E38" i="4"/>
  <c r="E37" i="4"/>
  <c r="F37" i="4"/>
  <c r="E36" i="4"/>
  <c r="F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F19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/>
  <c r="E5" i="4"/>
  <c r="F40" i="2"/>
  <c r="F25" i="2"/>
  <c r="F24" i="2"/>
  <c r="F23" i="2"/>
  <c r="F5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D79" i="2"/>
  <c r="F79" i="2" s="1"/>
  <c r="D78" i="2"/>
  <c r="F78" i="2" s="1"/>
  <c r="D77" i="2"/>
  <c r="F77" i="2" s="1"/>
  <c r="D76" i="2"/>
  <c r="F76" i="2" s="1"/>
  <c r="D75" i="2"/>
  <c r="F75" i="2" s="1"/>
  <c r="D74" i="2"/>
  <c r="F74" i="2" s="1"/>
  <c r="D73" i="2"/>
  <c r="F73" i="2" s="1"/>
  <c r="D72" i="2"/>
  <c r="F72" i="2" s="1"/>
  <c r="D71" i="2"/>
  <c r="F71" i="2" s="1"/>
  <c r="D70" i="2"/>
  <c r="F70" i="2" s="1"/>
  <c r="D69" i="2"/>
  <c r="F69" i="2" s="1"/>
  <c r="D68" i="2"/>
  <c r="F68" i="2" s="1"/>
  <c r="D67" i="2"/>
  <c r="F67" i="2" s="1"/>
  <c r="D66" i="2"/>
  <c r="F66" i="2" s="1"/>
  <c r="D65" i="2"/>
  <c r="F65" i="2" s="1"/>
  <c r="D64" i="2"/>
  <c r="F64" i="2" s="1"/>
  <c r="D63" i="2"/>
  <c r="F63" i="2" s="1"/>
  <c r="D62" i="2"/>
  <c r="F62" i="2" s="1"/>
  <c r="D61" i="2"/>
  <c r="F61" i="2" s="1"/>
  <c r="D60" i="2"/>
  <c r="F60" i="2" s="1"/>
  <c r="G64" i="2" s="1"/>
  <c r="D59" i="2"/>
  <c r="F59" i="2" s="1"/>
  <c r="D58" i="2"/>
  <c r="F58" i="2" s="1"/>
  <c r="D57" i="2"/>
  <c r="F57" i="2" s="1"/>
  <c r="D56" i="2"/>
  <c r="F56" i="2" s="1"/>
  <c r="D55" i="2"/>
  <c r="F55" i="2" s="1"/>
  <c r="D54" i="2"/>
  <c r="F54" i="2" s="1"/>
  <c r="D53" i="2"/>
  <c r="F53" i="2" s="1"/>
  <c r="D52" i="2"/>
  <c r="F52" i="2" s="1"/>
  <c r="D51" i="2"/>
  <c r="F51" i="2" s="1"/>
  <c r="D50" i="2"/>
  <c r="F50" i="2" s="1"/>
  <c r="D49" i="2"/>
  <c r="F49" i="2" s="1"/>
  <c r="D48" i="2"/>
  <c r="F48" i="2" s="1"/>
  <c r="D47" i="2"/>
  <c r="F47" i="2" s="1"/>
  <c r="D46" i="2"/>
  <c r="F46" i="2" s="1"/>
  <c r="D45" i="2"/>
  <c r="F45" i="2" s="1"/>
  <c r="D44" i="2"/>
  <c r="F44" i="2" s="1"/>
  <c r="D43" i="2"/>
  <c r="F43" i="2" s="1"/>
  <c r="D42" i="2"/>
  <c r="F42" i="2" s="1"/>
  <c r="D41" i="2"/>
  <c r="F41" i="2" s="1"/>
  <c r="D40" i="2"/>
  <c r="D39" i="2"/>
  <c r="F39" i="2" s="1"/>
  <c r="D38" i="2"/>
  <c r="F38" i="2" s="1"/>
  <c r="D37" i="2"/>
  <c r="F37" i="2" s="1"/>
  <c r="D36" i="2"/>
  <c r="F36" i="2" s="1"/>
  <c r="D35" i="2"/>
  <c r="F35" i="2" s="1"/>
  <c r="G39" i="2" s="1"/>
  <c r="D34" i="2"/>
  <c r="F34" i="2" s="1"/>
  <c r="G38" i="2" s="1"/>
  <c r="D33" i="2"/>
  <c r="F33" i="2" s="1"/>
  <c r="D32" i="2"/>
  <c r="F32" i="2" s="1"/>
  <c r="D31" i="2"/>
  <c r="F31" i="2" s="1"/>
  <c r="D30" i="2"/>
  <c r="F30" i="2" s="1"/>
  <c r="D29" i="2"/>
  <c r="F29" i="2" s="1"/>
  <c r="D28" i="2"/>
  <c r="F28" i="2" s="1"/>
  <c r="D27" i="2"/>
  <c r="F27" i="2" s="1"/>
  <c r="D26" i="2"/>
  <c r="F26" i="2" s="1"/>
  <c r="D25" i="2"/>
  <c r="D24" i="2"/>
  <c r="D23" i="2"/>
  <c r="D22" i="2"/>
  <c r="F22" i="2" s="1"/>
  <c r="D21" i="2"/>
  <c r="F21" i="2" s="1"/>
  <c r="D20" i="2"/>
  <c r="F20" i="2" s="1"/>
  <c r="D19" i="2"/>
  <c r="F19" i="2" s="1"/>
  <c r="D18" i="2"/>
  <c r="F18" i="2" s="1"/>
  <c r="D17" i="2"/>
  <c r="F17" i="2" s="1"/>
  <c r="D16" i="2"/>
  <c r="F16" i="2" s="1"/>
  <c r="G20" i="2" s="1"/>
  <c r="D15" i="2"/>
  <c r="F15" i="2" s="1"/>
  <c r="G19" i="2" s="1"/>
  <c r="D14" i="2"/>
  <c r="F14" i="2" s="1"/>
  <c r="G18" i="2" s="1"/>
  <c r="D13" i="2"/>
  <c r="F13" i="2" s="1"/>
  <c r="G17" i="2" s="1"/>
  <c r="D12" i="2"/>
  <c r="F12" i="2" s="1"/>
  <c r="D11" i="2"/>
  <c r="F11" i="2" s="1"/>
  <c r="D10" i="2"/>
  <c r="F10" i="2" s="1"/>
  <c r="D9" i="2"/>
  <c r="F9" i="2" s="1"/>
  <c r="D8" i="2"/>
  <c r="F8" i="2" s="1"/>
  <c r="G12" i="2" s="1"/>
  <c r="D7" i="2"/>
  <c r="F7" i="2" s="1"/>
  <c r="D6" i="2"/>
  <c r="F6" i="2" s="1"/>
  <c r="D5" i="2"/>
  <c r="G40" i="2" l="1"/>
  <c r="H64" i="2"/>
  <c r="G44" i="2"/>
  <c r="H44" i="2" s="1"/>
  <c r="G57" i="2"/>
  <c r="H57" i="2" s="1"/>
  <c r="G24" i="2"/>
  <c r="H24" i="2" s="1"/>
  <c r="G72" i="2"/>
  <c r="H72" i="2" s="1"/>
  <c r="G33" i="2"/>
  <c r="H33" i="2" s="1"/>
  <c r="G34" i="2"/>
  <c r="H34" i="2" s="1"/>
  <c r="G35" i="2"/>
  <c r="H35" i="2" s="1"/>
  <c r="G55" i="2"/>
  <c r="H55" i="2" s="1"/>
  <c r="G36" i="2"/>
  <c r="H36" i="2" s="1"/>
  <c r="G56" i="2"/>
  <c r="H56" i="2" s="1"/>
  <c r="G76" i="2"/>
  <c r="H76" i="2" s="1"/>
  <c r="H38" i="2"/>
  <c r="H39" i="2"/>
  <c r="H74" i="2"/>
  <c r="G13" i="2"/>
  <c r="H13" i="2" s="1"/>
  <c r="G32" i="2"/>
  <c r="H32" i="2" s="1"/>
  <c r="G53" i="2"/>
  <c r="H53" i="2" s="1"/>
  <c r="G54" i="2"/>
  <c r="H54" i="2" s="1"/>
  <c r="G52" i="2"/>
  <c r="H52" i="2" s="1"/>
  <c r="G73" i="2"/>
  <c r="H73" i="2" s="1"/>
  <c r="G14" i="2"/>
  <c r="H14" i="2" s="1"/>
  <c r="G74" i="2"/>
  <c r="G15" i="2"/>
  <c r="G75" i="2"/>
  <c r="H75" i="2" s="1"/>
  <c r="H12" i="2"/>
  <c r="G16" i="2"/>
  <c r="H16" i="2" s="1"/>
  <c r="H17" i="2"/>
  <c r="H78" i="2"/>
  <c r="H18" i="2"/>
  <c r="H19" i="2"/>
  <c r="G10" i="2"/>
  <c r="H10" i="2" s="1"/>
  <c r="G30" i="2"/>
  <c r="H30" i="2" s="1"/>
  <c r="G50" i="2"/>
  <c r="H50" i="2" s="1"/>
  <c r="G70" i="2"/>
  <c r="H70" i="2" s="1"/>
  <c r="G11" i="2"/>
  <c r="H11" i="2" s="1"/>
  <c r="G31" i="2"/>
  <c r="H31" i="2" s="1"/>
  <c r="H27" i="2"/>
  <c r="G51" i="2"/>
  <c r="H51" i="2" s="1"/>
  <c r="G71" i="2"/>
  <c r="H71" i="2" s="1"/>
  <c r="G25" i="2"/>
  <c r="H25" i="2" s="1"/>
  <c r="G45" i="2"/>
  <c r="H45" i="2" s="1"/>
  <c r="G65" i="2"/>
  <c r="H65" i="2" s="1"/>
  <c r="G77" i="2"/>
  <c r="H77" i="2" s="1"/>
  <c r="G26" i="2"/>
  <c r="H26" i="2" s="1"/>
  <c r="G46" i="2"/>
  <c r="H46" i="2" s="1"/>
  <c r="G66" i="2"/>
  <c r="H66" i="2" s="1"/>
  <c r="G78" i="2"/>
  <c r="G27" i="2"/>
  <c r="G47" i="2"/>
  <c r="H47" i="2" s="1"/>
  <c r="G67" i="2"/>
  <c r="H67" i="2" s="1"/>
  <c r="G58" i="2"/>
  <c r="H58" i="2" s="1"/>
  <c r="G59" i="2"/>
  <c r="H59" i="2" s="1"/>
  <c r="G60" i="2"/>
  <c r="H60" i="2" s="1"/>
  <c r="G79" i="2"/>
  <c r="H79" i="2" s="1"/>
  <c r="G48" i="2"/>
  <c r="H48" i="2" s="1"/>
  <c r="G49" i="2"/>
  <c r="H49" i="2" s="1"/>
  <c r="H15" i="2"/>
  <c r="G37" i="2"/>
  <c r="H37" i="2" s="1"/>
  <c r="G28" i="2"/>
  <c r="H28" i="2" s="1"/>
  <c r="G68" i="2"/>
  <c r="H68" i="2" s="1"/>
  <c r="G29" i="2"/>
  <c r="H29" i="2" s="1"/>
  <c r="G69" i="2"/>
  <c r="H69" i="2" s="1"/>
  <c r="H20" i="2"/>
  <c r="H40" i="2"/>
  <c r="F7" i="4"/>
  <c r="G10" i="4" s="1"/>
  <c r="H10" i="4" s="1"/>
  <c r="G76" i="4"/>
  <c r="H76" i="4" s="1"/>
  <c r="G32" i="4"/>
  <c r="G41" i="4"/>
  <c r="H41" i="4" s="1"/>
  <c r="G50" i="4"/>
  <c r="H50" i="4" s="1"/>
  <c r="G58" i="4"/>
  <c r="H58" i="4" s="1"/>
  <c r="G49" i="4"/>
  <c r="H49" i="4" s="1"/>
  <c r="G69" i="4"/>
  <c r="H69" i="4" s="1"/>
  <c r="G13" i="4"/>
  <c r="H13" i="4" s="1"/>
  <c r="G40" i="4"/>
  <c r="H40" i="4" s="1"/>
  <c r="G14" i="4"/>
  <c r="H14" i="4" s="1"/>
  <c r="G77" i="4"/>
  <c r="H77" i="4" s="1"/>
  <c r="G42" i="4"/>
  <c r="H42" i="4" s="1"/>
  <c r="G78" i="4"/>
  <c r="H78" i="4" s="1"/>
  <c r="G16" i="4"/>
  <c r="G25" i="4"/>
  <c r="H25" i="4" s="1"/>
  <c r="G34" i="4"/>
  <c r="H34" i="4" s="1"/>
  <c r="G52" i="4"/>
  <c r="H52" i="4" s="1"/>
  <c r="G61" i="4"/>
  <c r="H61" i="4" s="1"/>
  <c r="G70" i="4"/>
  <c r="H70" i="4" s="1"/>
  <c r="G17" i="4"/>
  <c r="H17" i="4" s="1"/>
  <c r="G26" i="4"/>
  <c r="G33" i="4"/>
  <c r="H33" i="4" s="1"/>
  <c r="G44" i="4"/>
  <c r="H44" i="4" s="1"/>
  <c r="G24" i="4"/>
  <c r="H24" i="4" s="1"/>
  <c r="G60" i="4"/>
  <c r="H60" i="4" s="1"/>
  <c r="G72" i="4"/>
  <c r="H72" i="4" s="1"/>
  <c r="G45" i="4"/>
  <c r="H45" i="4" s="1"/>
  <c r="G29" i="4"/>
  <c r="H29" i="4" s="1"/>
  <c r="G28" i="4"/>
  <c r="H28" i="4" s="1"/>
  <c r="G46" i="4"/>
  <c r="H46" i="4" s="1"/>
  <c r="H16" i="4"/>
  <c r="G20" i="4"/>
  <c r="H20" i="4" s="1"/>
  <c r="G11" i="4"/>
  <c r="H11" i="4" s="1"/>
  <c r="G56" i="4"/>
  <c r="H56" i="4" s="1"/>
  <c r="G65" i="4"/>
  <c r="H65" i="4" s="1"/>
  <c r="G74" i="4"/>
  <c r="H74" i="4" s="1"/>
  <c r="G68" i="4"/>
  <c r="H68" i="4" s="1"/>
  <c r="G62" i="4"/>
  <c r="H62" i="4" s="1"/>
  <c r="G37" i="4"/>
  <c r="H37" i="4" s="1"/>
  <c r="G64" i="4"/>
  <c r="H64" i="4" s="1"/>
  <c r="G73" i="4"/>
  <c r="H73" i="4" s="1"/>
  <c r="G38" i="4"/>
  <c r="H38" i="4" s="1"/>
  <c r="G12" i="4"/>
  <c r="H12" i="4" s="1"/>
  <c r="G21" i="4"/>
  <c r="H21" i="4" s="1"/>
  <c r="G30" i="4"/>
  <c r="H30" i="4" s="1"/>
  <c r="H26" i="4"/>
  <c r="G22" i="4"/>
  <c r="H22" i="4" s="1"/>
  <c r="G53" i="4"/>
  <c r="H53" i="4" s="1"/>
  <c r="G18" i="4"/>
  <c r="H18" i="4" s="1"/>
  <c r="H32" i="4"/>
  <c r="G36" i="4"/>
  <c r="H36" i="4" s="1"/>
  <c r="G54" i="4"/>
  <c r="H54" i="4" s="1"/>
  <c r="G48" i="4"/>
  <c r="H48" i="4" s="1"/>
  <c r="G57" i="4"/>
  <c r="H57" i="4" s="1"/>
  <c r="G66" i="4"/>
  <c r="H66" i="4" s="1"/>
  <c r="G15" i="4"/>
  <c r="H15" i="4" s="1"/>
  <c r="G19" i="4"/>
  <c r="H19" i="4" s="1"/>
  <c r="G23" i="4"/>
  <c r="H23" i="4" s="1"/>
  <c r="G27" i="4"/>
  <c r="H27" i="4" s="1"/>
  <c r="G31" i="4"/>
  <c r="H31" i="4" s="1"/>
  <c r="G35" i="4"/>
  <c r="H35" i="4" s="1"/>
  <c r="G39" i="4"/>
  <c r="H39" i="4" s="1"/>
  <c r="G43" i="4"/>
  <c r="H43" i="4" s="1"/>
  <c r="G47" i="4"/>
  <c r="H47" i="4" s="1"/>
  <c r="G51" i="4"/>
  <c r="H51" i="4" s="1"/>
  <c r="G55" i="4"/>
  <c r="H55" i="4" s="1"/>
  <c r="G59" i="4"/>
  <c r="H59" i="4" s="1"/>
  <c r="G63" i="4"/>
  <c r="H63" i="4" s="1"/>
  <c r="G67" i="4"/>
  <c r="H67" i="4" s="1"/>
  <c r="G71" i="4"/>
  <c r="H71" i="4" s="1"/>
  <c r="G75" i="4"/>
  <c r="H75" i="4" s="1"/>
  <c r="G79" i="4"/>
  <c r="H79" i="4" s="1"/>
  <c r="G42" i="2"/>
  <c r="H42" i="2" s="1"/>
  <c r="G21" i="2"/>
  <c r="H21" i="2" s="1"/>
  <c r="G41" i="2"/>
  <c r="H41" i="2" s="1"/>
  <c r="G61" i="2"/>
  <c r="H61" i="2" s="1"/>
  <c r="G22" i="2"/>
  <c r="H22" i="2" s="1"/>
  <c r="G62" i="2"/>
  <c r="H62" i="2" s="1"/>
  <c r="G23" i="2"/>
  <c r="H23" i="2" s="1"/>
  <c r="G43" i="2"/>
  <c r="H43" i="2" s="1"/>
  <c r="G63" i="2"/>
  <c r="H63" i="2" s="1"/>
  <c r="G9" i="2"/>
  <c r="H9" i="2" s="1"/>
  <c r="G9" i="4" l="1"/>
  <c r="H9" i="4" s="1"/>
</calcChain>
</file>

<file path=xl/sharedStrings.xml><?xml version="1.0" encoding="utf-8"?>
<sst xmlns="http://schemas.openxmlformats.org/spreadsheetml/2006/main" count="47" uniqueCount="27">
  <si>
    <t>date</t>
  </si>
  <si>
    <t>e</t>
  </si>
  <si>
    <t>DPI</t>
  </si>
  <si>
    <t>DPE</t>
  </si>
  <si>
    <t>core_cpi</t>
  </si>
  <si>
    <t>GDP_nom</t>
  </si>
  <si>
    <t>Rem</t>
  </si>
  <si>
    <t>IPub</t>
  </si>
  <si>
    <t>BM</t>
  </si>
  <si>
    <t>Def</t>
  </si>
  <si>
    <t>i</t>
  </si>
  <si>
    <t>GDP_star</t>
  </si>
  <si>
    <t>GDP</t>
  </si>
  <si>
    <t>core_cpi_star</t>
  </si>
  <si>
    <t>AIN</t>
  </si>
  <si>
    <t>PREM</t>
  </si>
  <si>
    <t>ITotal</t>
  </si>
  <si>
    <t>IngT</t>
  </si>
  <si>
    <t>i_star</t>
  </si>
  <si>
    <t>GFun</t>
  </si>
  <si>
    <t>AEN</t>
  </si>
  <si>
    <t>IPriv</t>
  </si>
  <si>
    <t>GDPSM</t>
  </si>
  <si>
    <t>ratio</t>
  </si>
  <si>
    <t>ratio_ola</t>
  </si>
  <si>
    <t>ola_var</t>
  </si>
  <si>
    <t>ola_avg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</si>
</sst>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14" fontId="0" fillId="0" borderId="0" xfId="0" applyNumberFormat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79"/>
  <sheetViews>
    <sheetView topLeftCell="A43" workbookViewId="0">
      <selection activeCell="M1" sqref="M1:M79"/>
    </sheetView>
  </sheetViews>
  <sheetFormatPr baseColWidth="10" defaultRowHeight="15" x14ac:dyDescent="0.25"/>
  <sheetData>
    <row r="1" spans="1:2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</row>
    <row r="2" spans="1:22" x14ac:dyDescent="0.25">
      <c r="A2" s="1">
        <v>38869</v>
      </c>
      <c r="B2">
        <v>7.5958416666666597</v>
      </c>
      <c r="C2">
        <v>17522.266666666601</v>
      </c>
      <c r="D2">
        <v>29349.333333333299</v>
      </c>
      <c r="E2">
        <v>150.015786666666</v>
      </c>
      <c r="F2">
        <v>56810.3</v>
      </c>
      <c r="G2">
        <v>7261.45</v>
      </c>
      <c r="H2">
        <v>2065.1999999999998</v>
      </c>
      <c r="I2">
        <v>22913.683000000001</v>
      </c>
      <c r="J2">
        <v>333.8</v>
      </c>
      <c r="K2">
        <v>4.4515151516666602</v>
      </c>
      <c r="L2">
        <v>16396.151000000002</v>
      </c>
      <c r="M2">
        <v>79399.399999999994</v>
      </c>
      <c r="N2">
        <v>83.974999999999994</v>
      </c>
      <c r="O2">
        <v>-10550.9</v>
      </c>
      <c r="P2">
        <v>2.1147783093333299</v>
      </c>
      <c r="Q2">
        <v>11940.2</v>
      </c>
      <c r="R2">
        <v>6742.7</v>
      </c>
      <c r="S2">
        <v>4.91</v>
      </c>
      <c r="T2">
        <v>5011.2999999999902</v>
      </c>
      <c r="U2">
        <v>33464.582999999999</v>
      </c>
      <c r="V2">
        <v>9875</v>
      </c>
    </row>
    <row r="3" spans="1:22" x14ac:dyDescent="0.25">
      <c r="A3" s="1">
        <v>38961</v>
      </c>
      <c r="B3">
        <v>7.5975116666666596</v>
      </c>
      <c r="C3">
        <v>18761.866666666599</v>
      </c>
      <c r="D3">
        <v>29202.85</v>
      </c>
      <c r="E3">
        <v>151.61210666666599</v>
      </c>
      <c r="F3">
        <v>58936.3</v>
      </c>
      <c r="G3">
        <v>7056.78</v>
      </c>
      <c r="H3">
        <v>2763.9</v>
      </c>
      <c r="I3">
        <v>23163.563333333299</v>
      </c>
      <c r="J3">
        <v>1008.3</v>
      </c>
      <c r="K3">
        <v>4.9285714286666602</v>
      </c>
      <c r="L3">
        <v>16420.738000000001</v>
      </c>
      <c r="M3">
        <v>80781.3</v>
      </c>
      <c r="N3">
        <v>84.427000000000007</v>
      </c>
      <c r="O3">
        <v>-9798.8333333333303</v>
      </c>
      <c r="P3">
        <v>2.3118413043333299</v>
      </c>
      <c r="Q3">
        <v>11954.5</v>
      </c>
      <c r="R3">
        <v>7465.6</v>
      </c>
      <c r="S3">
        <v>5.25</v>
      </c>
      <c r="T3">
        <v>5710</v>
      </c>
      <c r="U3">
        <v>32962.396666666602</v>
      </c>
      <c r="V3">
        <v>9190.6</v>
      </c>
    </row>
    <row r="4" spans="1:22" x14ac:dyDescent="0.25">
      <c r="A4" s="1">
        <v>39052</v>
      </c>
      <c r="B4">
        <v>7.6095383333333304</v>
      </c>
      <c r="C4">
        <v>19969.433333333302</v>
      </c>
      <c r="D4">
        <v>29232.116666666599</v>
      </c>
      <c r="E4">
        <v>153.04777000000001</v>
      </c>
      <c r="F4">
        <v>62174.3</v>
      </c>
      <c r="G4">
        <v>7094.41</v>
      </c>
      <c r="H4">
        <v>5231.2299999999996</v>
      </c>
      <c r="I4">
        <v>25483.366666666599</v>
      </c>
      <c r="J4">
        <v>3000.2</v>
      </c>
      <c r="K4">
        <v>5</v>
      </c>
      <c r="L4">
        <v>16561.866000000002</v>
      </c>
      <c r="M4">
        <v>85047.2</v>
      </c>
      <c r="N4">
        <v>84.790999999999997</v>
      </c>
      <c r="O4">
        <v>-9171.5333333333292</v>
      </c>
      <c r="P4">
        <v>2.3129039683333299</v>
      </c>
      <c r="Q4">
        <v>12964.5</v>
      </c>
      <c r="R4">
        <v>8274.5</v>
      </c>
      <c r="S4">
        <v>5.24</v>
      </c>
      <c r="T4">
        <v>6043.5</v>
      </c>
      <c r="U4">
        <v>34654.9</v>
      </c>
      <c r="V4">
        <v>7733.27</v>
      </c>
    </row>
    <row r="5" spans="1:22" x14ac:dyDescent="0.25">
      <c r="A5" s="1">
        <v>39142</v>
      </c>
      <c r="B5">
        <v>7.7085900000000001</v>
      </c>
      <c r="C5">
        <v>20191.166666666599</v>
      </c>
      <c r="D5">
        <v>30353.616666666599</v>
      </c>
      <c r="E5">
        <v>156.38572666666599</v>
      </c>
      <c r="F5">
        <v>67591.7</v>
      </c>
      <c r="G5">
        <v>6834.25</v>
      </c>
      <c r="H5">
        <v>2386.4</v>
      </c>
      <c r="I5">
        <v>26451.5333333333</v>
      </c>
      <c r="J5">
        <v>-164.9</v>
      </c>
      <c r="K5">
        <v>5.0075757576666602</v>
      </c>
      <c r="L5">
        <v>16611.689999999999</v>
      </c>
      <c r="M5">
        <v>88341.8</v>
      </c>
      <c r="N5">
        <v>85.375</v>
      </c>
      <c r="O5">
        <v>-8398.1</v>
      </c>
      <c r="P5">
        <v>1.9640368726666599</v>
      </c>
      <c r="Q5">
        <v>13303.5</v>
      </c>
      <c r="R5">
        <v>8092.7</v>
      </c>
      <c r="S5">
        <v>5.25</v>
      </c>
      <c r="T5">
        <v>5541.4</v>
      </c>
      <c r="U5">
        <v>34849.633333333302</v>
      </c>
      <c r="V5">
        <v>10917.1</v>
      </c>
    </row>
    <row r="6" spans="1:22" x14ac:dyDescent="0.25">
      <c r="A6" s="1">
        <v>39234</v>
      </c>
      <c r="B6">
        <v>7.6836500000000001</v>
      </c>
      <c r="C6">
        <v>21592.5666666666</v>
      </c>
      <c r="D6">
        <v>31854.3866666666</v>
      </c>
      <c r="E6">
        <v>158.50416999999999</v>
      </c>
      <c r="F6">
        <v>64074.5</v>
      </c>
      <c r="G6">
        <v>8321.14</v>
      </c>
      <c r="H6">
        <v>2867</v>
      </c>
      <c r="I6">
        <v>26713.633333333299</v>
      </c>
      <c r="J6">
        <v>796.9</v>
      </c>
      <c r="K6">
        <v>5.4285714286666602</v>
      </c>
      <c r="L6">
        <v>16713.313999999998</v>
      </c>
      <c r="M6">
        <v>85226.5</v>
      </c>
      <c r="N6">
        <v>85.730999999999995</v>
      </c>
      <c r="O6">
        <v>-10892.366666666599</v>
      </c>
      <c r="P6">
        <v>1.69720259766666</v>
      </c>
      <c r="Q6">
        <v>13400.9</v>
      </c>
      <c r="R6">
        <v>7701.8</v>
      </c>
      <c r="S6">
        <v>5.25</v>
      </c>
      <c r="T6">
        <v>5631.7</v>
      </c>
      <c r="U6">
        <v>37606</v>
      </c>
      <c r="V6">
        <v>10533.9</v>
      </c>
    </row>
    <row r="7" spans="1:22" x14ac:dyDescent="0.25">
      <c r="A7" s="1">
        <v>39326</v>
      </c>
      <c r="B7">
        <v>7.7065366666666604</v>
      </c>
      <c r="C7">
        <v>23168.5333333333</v>
      </c>
      <c r="D7">
        <v>32216.586666666601</v>
      </c>
      <c r="E7">
        <v>160.74777333333299</v>
      </c>
      <c r="F7">
        <v>66701.7</v>
      </c>
      <c r="G7">
        <v>8392.25</v>
      </c>
      <c r="H7">
        <v>3394.3</v>
      </c>
      <c r="I7">
        <v>27702.5333333333</v>
      </c>
      <c r="J7">
        <v>2009.6</v>
      </c>
      <c r="K7">
        <v>5.5083333333333302</v>
      </c>
      <c r="L7">
        <v>16809.587</v>
      </c>
      <c r="M7">
        <v>85488.2</v>
      </c>
      <c r="N7">
        <v>86.152000000000001</v>
      </c>
      <c r="O7">
        <v>-10316.0666666666</v>
      </c>
      <c r="P7">
        <v>1.96508601199999</v>
      </c>
      <c r="Q7">
        <v>13791.2</v>
      </c>
      <c r="R7">
        <v>8356.2999999999993</v>
      </c>
      <c r="S7">
        <v>5.07</v>
      </c>
      <c r="T7">
        <v>6971.6</v>
      </c>
      <c r="U7">
        <v>38018.6</v>
      </c>
      <c r="V7">
        <v>10396.9</v>
      </c>
    </row>
    <row r="8" spans="1:22" x14ac:dyDescent="0.25">
      <c r="A8" s="1">
        <v>39417</v>
      </c>
      <c r="B8">
        <v>7.6706366666666597</v>
      </c>
      <c r="C8">
        <v>24214.433333333302</v>
      </c>
      <c r="D8">
        <v>31875.19</v>
      </c>
      <c r="E8">
        <v>163.45267999999999</v>
      </c>
      <c r="F8">
        <v>70455.899999999994</v>
      </c>
      <c r="G8">
        <v>8204.1299999999992</v>
      </c>
      <c r="H8">
        <v>3953.9</v>
      </c>
      <c r="I8">
        <v>28368.5333333333</v>
      </c>
      <c r="J8">
        <v>1130</v>
      </c>
      <c r="K8">
        <v>6.0156926406666598</v>
      </c>
      <c r="L8">
        <v>16915.190999999999</v>
      </c>
      <c r="M8">
        <v>89195</v>
      </c>
      <c r="N8">
        <v>86.747</v>
      </c>
      <c r="O8">
        <v>-10374.6</v>
      </c>
      <c r="P8">
        <v>2.1557742423333299</v>
      </c>
      <c r="Q8">
        <v>13177.2</v>
      </c>
      <c r="R8">
        <v>9459.7000000000007</v>
      </c>
      <c r="S8">
        <v>4.5</v>
      </c>
      <c r="T8">
        <v>6635.7999999999902</v>
      </c>
      <c r="U8">
        <v>38743.133333333302</v>
      </c>
      <c r="V8">
        <v>9223.2999999999993</v>
      </c>
    </row>
    <row r="9" spans="1:22" x14ac:dyDescent="0.25">
      <c r="A9" s="1">
        <v>39508</v>
      </c>
      <c r="B9">
        <v>7.7020166666666601</v>
      </c>
      <c r="C9">
        <v>24338.5333333333</v>
      </c>
      <c r="D9">
        <v>31750.0666666666</v>
      </c>
      <c r="E9">
        <v>168.39684333333301</v>
      </c>
      <c r="F9">
        <v>75225.8</v>
      </c>
      <c r="G9">
        <v>7494.7199999999903</v>
      </c>
      <c r="H9">
        <v>1790.2</v>
      </c>
      <c r="I9">
        <v>28466.133333333299</v>
      </c>
      <c r="J9">
        <v>-1398.5</v>
      </c>
      <c r="K9">
        <v>6.5119047620000003</v>
      </c>
      <c r="L9">
        <v>16843.003000000001</v>
      </c>
      <c r="M9">
        <v>90929.600000000006</v>
      </c>
      <c r="N9">
        <v>87.206999999999994</v>
      </c>
      <c r="O9">
        <v>-9780.5</v>
      </c>
      <c r="P9">
        <v>2.2647206350000002</v>
      </c>
      <c r="Q9">
        <v>13586</v>
      </c>
      <c r="R9">
        <v>8959.2999999999993</v>
      </c>
      <c r="S9">
        <v>3.18</v>
      </c>
      <c r="T9">
        <v>5770.6</v>
      </c>
      <c r="U9">
        <v>38246.633333333302</v>
      </c>
      <c r="V9">
        <v>11795.8</v>
      </c>
    </row>
    <row r="10" spans="1:22" x14ac:dyDescent="0.25">
      <c r="A10" s="1">
        <v>39600</v>
      </c>
      <c r="B10">
        <v>7.4891599999999903</v>
      </c>
      <c r="C10">
        <v>24976.233333333301</v>
      </c>
      <c r="D10">
        <v>31139.233333333301</v>
      </c>
      <c r="E10">
        <v>172.67838333333299</v>
      </c>
      <c r="F10">
        <v>74565.100000000006</v>
      </c>
      <c r="G10">
        <v>8743.33</v>
      </c>
      <c r="H10">
        <v>2596.4</v>
      </c>
      <c r="I10">
        <v>27856.3</v>
      </c>
      <c r="J10">
        <v>53.8</v>
      </c>
      <c r="K10">
        <v>6.75</v>
      </c>
      <c r="L10">
        <v>16943.291000000001</v>
      </c>
      <c r="M10">
        <v>90145.1</v>
      </c>
      <c r="N10">
        <v>87.572999999999993</v>
      </c>
      <c r="O10">
        <v>-12134.266666666599</v>
      </c>
      <c r="P10">
        <v>2.0690865803333298</v>
      </c>
      <c r="Q10">
        <v>15092.7</v>
      </c>
      <c r="R10">
        <v>8524.5</v>
      </c>
      <c r="S10">
        <v>2.08</v>
      </c>
      <c r="T10">
        <v>5981.9</v>
      </c>
      <c r="U10">
        <v>39990.5666666666</v>
      </c>
      <c r="V10">
        <v>12496.3</v>
      </c>
    </row>
    <row r="11" spans="1:22" x14ac:dyDescent="0.25">
      <c r="A11" s="1">
        <v>39692</v>
      </c>
      <c r="B11">
        <v>7.4473866666666604</v>
      </c>
      <c r="C11">
        <v>25005.5666666666</v>
      </c>
      <c r="D11">
        <v>31604.6733333333</v>
      </c>
      <c r="E11">
        <v>177.01507000000001</v>
      </c>
      <c r="F11">
        <v>75672.5</v>
      </c>
      <c r="G11">
        <v>8601.3699999999899</v>
      </c>
      <c r="H11">
        <v>2979</v>
      </c>
      <c r="I11">
        <v>28472.7</v>
      </c>
      <c r="J11">
        <v>1375.3</v>
      </c>
      <c r="K11">
        <v>7.1268115943333301</v>
      </c>
      <c r="L11">
        <v>16854.294999999998</v>
      </c>
      <c r="M11">
        <v>88192.3</v>
      </c>
      <c r="N11">
        <v>88.02</v>
      </c>
      <c r="O11">
        <v>-11602.666666666601</v>
      </c>
      <c r="P11">
        <v>2.4076789323333299</v>
      </c>
      <c r="Q11">
        <v>13054</v>
      </c>
      <c r="R11">
        <v>9032.2000000000007</v>
      </c>
      <c r="S11">
        <v>1.94</v>
      </c>
      <c r="T11">
        <v>7428.5</v>
      </c>
      <c r="U11">
        <v>40075.366666666603</v>
      </c>
      <c r="V11">
        <v>10075</v>
      </c>
    </row>
    <row r="12" spans="1:22" x14ac:dyDescent="0.25">
      <c r="A12" s="1">
        <v>39783</v>
      </c>
      <c r="B12">
        <v>7.6794133333333301</v>
      </c>
      <c r="C12">
        <v>25737.5666666666</v>
      </c>
      <c r="D12">
        <v>32860.74</v>
      </c>
      <c r="E12">
        <v>179.973886666666</v>
      </c>
      <c r="F12">
        <v>78865.899999999994</v>
      </c>
      <c r="G12">
        <v>7819.92</v>
      </c>
      <c r="H12">
        <v>5855.3899999999903</v>
      </c>
      <c r="I12">
        <v>29246.5999999999</v>
      </c>
      <c r="J12">
        <v>4746.8</v>
      </c>
      <c r="K12">
        <v>7.25</v>
      </c>
      <c r="L12">
        <v>16485.349999999999</v>
      </c>
      <c r="M12">
        <v>91738.9</v>
      </c>
      <c r="N12">
        <v>87.950999999999993</v>
      </c>
      <c r="O12">
        <v>-9850.7333333333299</v>
      </c>
      <c r="P12">
        <v>3.7277693599999999</v>
      </c>
      <c r="Q12">
        <v>13929.1</v>
      </c>
      <c r="R12">
        <v>9062</v>
      </c>
      <c r="S12">
        <v>0.51</v>
      </c>
      <c r="T12">
        <v>7953.4</v>
      </c>
      <c r="U12">
        <v>39097.333333333299</v>
      </c>
      <c r="V12">
        <v>8073.71</v>
      </c>
    </row>
    <row r="13" spans="1:22" x14ac:dyDescent="0.25">
      <c r="A13" s="1">
        <v>39873</v>
      </c>
      <c r="B13">
        <v>8.0376233333333307</v>
      </c>
      <c r="C13">
        <v>27059.5</v>
      </c>
      <c r="D13">
        <v>34974.04</v>
      </c>
      <c r="E13">
        <v>181.95939000000001</v>
      </c>
      <c r="F13">
        <v>78253.3</v>
      </c>
      <c r="G13">
        <v>7369.18</v>
      </c>
      <c r="H13">
        <v>2269.6999999999998</v>
      </c>
      <c r="I13">
        <v>29076.333333333299</v>
      </c>
      <c r="J13">
        <v>647.79999999999995</v>
      </c>
      <c r="K13">
        <v>6.8772727273333301</v>
      </c>
      <c r="L13">
        <v>16298.262000000001</v>
      </c>
      <c r="M13">
        <v>90819.8</v>
      </c>
      <c r="N13">
        <v>87.95</v>
      </c>
      <c r="O13">
        <v>-8937.5333333333292</v>
      </c>
      <c r="P13">
        <v>4.9490611639999997</v>
      </c>
      <c r="Q13">
        <v>12460.3</v>
      </c>
      <c r="R13">
        <v>8201</v>
      </c>
      <c r="S13">
        <v>0.18</v>
      </c>
      <c r="T13">
        <v>6579.1</v>
      </c>
      <c r="U13">
        <v>38013.866666666603</v>
      </c>
      <c r="V13">
        <v>10190.5999999999</v>
      </c>
    </row>
    <row r="14" spans="1:22" x14ac:dyDescent="0.25">
      <c r="A14" s="1">
        <v>39965</v>
      </c>
      <c r="B14">
        <v>8.1249533333333304</v>
      </c>
      <c r="C14">
        <v>27535.0666666666</v>
      </c>
      <c r="D14">
        <v>37344.619999999901</v>
      </c>
      <c r="E14">
        <v>182.96869333333299</v>
      </c>
      <c r="F14">
        <v>74997.8</v>
      </c>
      <c r="G14">
        <v>8294.75</v>
      </c>
      <c r="H14">
        <v>2465.6</v>
      </c>
      <c r="I14">
        <v>30387.833333333299</v>
      </c>
      <c r="J14">
        <v>1255.3</v>
      </c>
      <c r="K14">
        <v>5.8030303029999999</v>
      </c>
      <c r="L14">
        <v>16269.145</v>
      </c>
      <c r="M14">
        <v>89285.9</v>
      </c>
      <c r="N14">
        <v>88.293999999999997</v>
      </c>
      <c r="O14">
        <v>-9512.9</v>
      </c>
      <c r="P14">
        <v>3.84038124099999</v>
      </c>
      <c r="Q14">
        <v>12386.8</v>
      </c>
      <c r="R14">
        <v>8055.8</v>
      </c>
      <c r="S14">
        <v>0.18</v>
      </c>
      <c r="T14">
        <v>6845.5</v>
      </c>
      <c r="U14">
        <v>39900.733333333301</v>
      </c>
      <c r="V14">
        <v>9921.1999999999898</v>
      </c>
    </row>
    <row r="15" spans="1:22" x14ac:dyDescent="0.25">
      <c r="A15" s="1">
        <v>40057</v>
      </c>
      <c r="B15">
        <v>8.2872400000000006</v>
      </c>
      <c r="C15">
        <v>28635.133333333299</v>
      </c>
      <c r="D15">
        <v>38454.769999999997</v>
      </c>
      <c r="E15">
        <v>184.217956666666</v>
      </c>
      <c r="F15">
        <v>76667.600000000006</v>
      </c>
      <c r="G15">
        <v>8576.57</v>
      </c>
      <c r="H15">
        <v>3233.1</v>
      </c>
      <c r="I15">
        <v>30974.333333333299</v>
      </c>
      <c r="J15">
        <v>3452.1</v>
      </c>
      <c r="K15">
        <v>4.8642951249999902</v>
      </c>
      <c r="L15">
        <v>16326.281000000001</v>
      </c>
      <c r="M15">
        <v>89414.1</v>
      </c>
      <c r="N15">
        <v>88.606999999999999</v>
      </c>
      <c r="O15">
        <v>-8309.6999999999898</v>
      </c>
      <c r="P15">
        <v>2.9302272726666598</v>
      </c>
      <c r="Q15">
        <v>11359.1</v>
      </c>
      <c r="R15">
        <v>8366.2999999999993</v>
      </c>
      <c r="S15">
        <v>0.15</v>
      </c>
      <c r="T15">
        <v>8585.2999999999993</v>
      </c>
      <c r="U15">
        <v>39284.033333333296</v>
      </c>
      <c r="V15">
        <v>8126</v>
      </c>
    </row>
    <row r="16" spans="1:22" x14ac:dyDescent="0.25">
      <c r="A16" s="1">
        <v>40148</v>
      </c>
      <c r="B16">
        <v>8.3286200000000008</v>
      </c>
      <c r="C16">
        <v>30628.933333333302</v>
      </c>
      <c r="D16">
        <v>39066.159999999902</v>
      </c>
      <c r="E16">
        <v>185.39561333333299</v>
      </c>
      <c r="F16">
        <v>80066.899999999994</v>
      </c>
      <c r="G16">
        <v>7829.03</v>
      </c>
      <c r="H16">
        <v>4579.92</v>
      </c>
      <c r="I16">
        <v>32964.833333333299</v>
      </c>
      <c r="J16">
        <v>4316.5</v>
      </c>
      <c r="K16">
        <v>4.5</v>
      </c>
      <c r="L16">
        <v>16502.754000000001</v>
      </c>
      <c r="M16">
        <v>93767.9</v>
      </c>
      <c r="N16">
        <v>89.159000000000006</v>
      </c>
      <c r="O16">
        <v>-6948.6666666666597</v>
      </c>
      <c r="P16">
        <v>2.57045701366666</v>
      </c>
      <c r="Q16">
        <v>12432.4</v>
      </c>
      <c r="R16">
        <v>9414.0999999999894</v>
      </c>
      <c r="S16">
        <v>0.12</v>
      </c>
      <c r="T16">
        <v>9150.6</v>
      </c>
      <c r="U16">
        <v>39913.5</v>
      </c>
      <c r="V16">
        <v>7852.48</v>
      </c>
    </row>
    <row r="17" spans="1:22" x14ac:dyDescent="0.25">
      <c r="A17" s="1">
        <v>40238</v>
      </c>
      <c r="B17">
        <v>8.1611933333333297</v>
      </c>
      <c r="C17">
        <v>30464.2</v>
      </c>
      <c r="D17">
        <v>41669.926666666601</v>
      </c>
      <c r="E17">
        <v>187.69257999999999</v>
      </c>
      <c r="F17">
        <v>83764.100000000006</v>
      </c>
      <c r="G17">
        <v>7246.67</v>
      </c>
      <c r="H17">
        <v>2345.5</v>
      </c>
      <c r="I17">
        <v>33769.1</v>
      </c>
      <c r="J17">
        <v>1190</v>
      </c>
      <c r="K17">
        <v>4.5</v>
      </c>
      <c r="L17">
        <v>16582.71</v>
      </c>
      <c r="M17">
        <v>93561.1</v>
      </c>
      <c r="N17">
        <v>89.463999999999999</v>
      </c>
      <c r="O17">
        <v>-7032.9666666666599</v>
      </c>
      <c r="P17">
        <v>2.1203745230000002</v>
      </c>
      <c r="Q17">
        <v>12062.5</v>
      </c>
      <c r="R17">
        <v>8916.7000000000007</v>
      </c>
      <c r="S17">
        <v>0.13</v>
      </c>
      <c r="T17">
        <v>7761.2</v>
      </c>
      <c r="U17">
        <v>40802.0666666666</v>
      </c>
      <c r="V17">
        <v>9717</v>
      </c>
    </row>
    <row r="18" spans="1:22" x14ac:dyDescent="0.25">
      <c r="A18" s="1">
        <v>40330</v>
      </c>
      <c r="B18">
        <v>8.0184933333333301</v>
      </c>
      <c r="C18">
        <v>30682.6</v>
      </c>
      <c r="D18">
        <v>41646.826666666602</v>
      </c>
      <c r="E18">
        <v>189.63226999999901</v>
      </c>
      <c r="F18">
        <v>80946.3</v>
      </c>
      <c r="G18">
        <v>8786.42</v>
      </c>
      <c r="H18">
        <v>2496.8000000000002</v>
      </c>
      <c r="I18">
        <v>34017.266666666597</v>
      </c>
      <c r="J18">
        <v>1899.5</v>
      </c>
      <c r="K18">
        <v>4.5</v>
      </c>
      <c r="L18">
        <v>16743.162</v>
      </c>
      <c r="M18">
        <v>92080.5</v>
      </c>
      <c r="N18">
        <v>89.704999999999998</v>
      </c>
      <c r="O18">
        <v>-6973.5666666666602</v>
      </c>
      <c r="P18">
        <v>2.12556017333333</v>
      </c>
      <c r="Q18">
        <v>12647</v>
      </c>
      <c r="R18">
        <v>8861.7000000000007</v>
      </c>
      <c r="S18">
        <v>0.19</v>
      </c>
      <c r="T18">
        <v>8264.4</v>
      </c>
      <c r="U18">
        <v>40990.833333333299</v>
      </c>
      <c r="V18">
        <v>10150.200000000001</v>
      </c>
    </row>
    <row r="19" spans="1:22" x14ac:dyDescent="0.25">
      <c r="A19" s="1">
        <v>40422</v>
      </c>
      <c r="B19">
        <v>8.0731599999999997</v>
      </c>
      <c r="C19">
        <v>34437.133333333302</v>
      </c>
      <c r="D19">
        <v>42621.773333333302</v>
      </c>
      <c r="E19">
        <v>191.30178000000001</v>
      </c>
      <c r="F19">
        <v>82168.100000000006</v>
      </c>
      <c r="G19">
        <v>9050.77</v>
      </c>
      <c r="H19">
        <v>4026.7999999999902</v>
      </c>
      <c r="I19">
        <v>34517.199999999997</v>
      </c>
      <c r="J19">
        <v>3208.8999999999901</v>
      </c>
      <c r="K19">
        <v>4.5</v>
      </c>
      <c r="L19">
        <v>16872.266</v>
      </c>
      <c r="M19">
        <v>91027.199999999997</v>
      </c>
      <c r="N19">
        <v>89.843000000000004</v>
      </c>
      <c r="O19">
        <v>-8004.3666666666604</v>
      </c>
      <c r="P19">
        <v>2.4653124096666601</v>
      </c>
      <c r="Q19">
        <v>12992.1</v>
      </c>
      <c r="R19">
        <v>9492.4</v>
      </c>
      <c r="S19">
        <v>0.19</v>
      </c>
      <c r="T19">
        <v>8674.5</v>
      </c>
      <c r="U19">
        <v>42521.5666666666</v>
      </c>
      <c r="V19">
        <v>8965.2999999999993</v>
      </c>
    </row>
    <row r="20" spans="1:22" x14ac:dyDescent="0.25">
      <c r="A20" s="1">
        <v>40513</v>
      </c>
      <c r="B20">
        <v>8.0142166666666608</v>
      </c>
      <c r="C20">
        <v>35673.799999999901</v>
      </c>
      <c r="D20">
        <v>42850.8299999999</v>
      </c>
      <c r="E20">
        <v>192.95538999999999</v>
      </c>
      <c r="F20">
        <v>87555.7</v>
      </c>
      <c r="G20">
        <v>8168.25</v>
      </c>
      <c r="H20">
        <v>4859.63</v>
      </c>
      <c r="I20">
        <v>35918.799999999901</v>
      </c>
      <c r="J20">
        <v>4661.8999999999996</v>
      </c>
      <c r="K20">
        <v>4.5</v>
      </c>
      <c r="L20">
        <v>16960.864000000001</v>
      </c>
      <c r="M20">
        <v>96812</v>
      </c>
      <c r="N20">
        <v>90.126999999999995</v>
      </c>
      <c r="O20">
        <v>-7013.5333333333301</v>
      </c>
      <c r="P20">
        <v>1.79073636366666</v>
      </c>
      <c r="Q20">
        <v>13799.9</v>
      </c>
      <c r="R20">
        <v>10154.299999999999</v>
      </c>
      <c r="S20">
        <v>0.19</v>
      </c>
      <c r="T20">
        <v>9956.5</v>
      </c>
      <c r="U20">
        <v>42932.333333333299</v>
      </c>
      <c r="V20">
        <v>8940.27</v>
      </c>
    </row>
    <row r="21" spans="1:22" x14ac:dyDescent="0.25">
      <c r="A21" s="1">
        <v>40603</v>
      </c>
      <c r="B21">
        <v>7.7882233333333302</v>
      </c>
      <c r="C21">
        <v>38454.333333333299</v>
      </c>
      <c r="D21">
        <v>42079.776666666599</v>
      </c>
      <c r="E21">
        <v>195.88597999999999</v>
      </c>
      <c r="F21">
        <v>91460.7</v>
      </c>
      <c r="G21">
        <v>7561.06</v>
      </c>
      <c r="H21">
        <v>2364.7799999999902</v>
      </c>
      <c r="I21">
        <v>37388.5</v>
      </c>
      <c r="J21">
        <v>318.60000000000002</v>
      </c>
      <c r="K21">
        <v>4.5</v>
      </c>
      <c r="L21">
        <v>16920.632000000001</v>
      </c>
      <c r="M21">
        <v>97288.7</v>
      </c>
      <c r="N21">
        <v>90.522999999999996</v>
      </c>
      <c r="O21">
        <v>-6599.4666666666599</v>
      </c>
      <c r="P21">
        <v>1.6156536233333301</v>
      </c>
      <c r="Q21">
        <v>13626.1</v>
      </c>
      <c r="R21">
        <v>10731.0999999999</v>
      </c>
      <c r="S21">
        <v>0.15</v>
      </c>
      <c r="T21">
        <v>8685</v>
      </c>
      <c r="U21">
        <v>43987.966666666602</v>
      </c>
      <c r="V21">
        <v>11261.32</v>
      </c>
    </row>
    <row r="22" spans="1:22" x14ac:dyDescent="0.25">
      <c r="A22" s="1">
        <v>40695</v>
      </c>
      <c r="B22">
        <v>7.71372666666666</v>
      </c>
      <c r="C22">
        <v>40597.699999999997</v>
      </c>
      <c r="D22">
        <v>41623.839999999997</v>
      </c>
      <c r="E22">
        <v>198.900706666666</v>
      </c>
      <c r="F22">
        <v>89623.1</v>
      </c>
      <c r="G22">
        <v>9285.76</v>
      </c>
      <c r="H22">
        <v>3357.3399999999901</v>
      </c>
      <c r="I22">
        <v>37444.5666666666</v>
      </c>
      <c r="J22">
        <v>2537.6999999999998</v>
      </c>
      <c r="K22">
        <v>4.75</v>
      </c>
      <c r="L22">
        <v>17035.114000000001</v>
      </c>
      <c r="M22">
        <v>96227</v>
      </c>
      <c r="N22">
        <v>91.052000000000007</v>
      </c>
      <c r="O22">
        <v>-7615.9333333333298</v>
      </c>
      <c r="P22">
        <v>1.979908153</v>
      </c>
      <c r="Q22">
        <v>13823.5</v>
      </c>
      <c r="R22">
        <v>10418.700000000001</v>
      </c>
      <c r="S22">
        <v>0.09</v>
      </c>
      <c r="T22">
        <v>9599</v>
      </c>
      <c r="U22">
        <v>45060.5</v>
      </c>
      <c r="V22">
        <v>10466.16</v>
      </c>
    </row>
    <row r="23" spans="1:22" x14ac:dyDescent="0.25">
      <c r="A23" s="1">
        <v>40787</v>
      </c>
      <c r="B23">
        <v>7.8247133333333299</v>
      </c>
      <c r="C23">
        <v>43102.266666666597</v>
      </c>
      <c r="D23">
        <v>41999.826666666602</v>
      </c>
      <c r="E23">
        <v>201.63990000000001</v>
      </c>
      <c r="F23">
        <v>92060.3</v>
      </c>
      <c r="G23">
        <v>8796.7199999999993</v>
      </c>
      <c r="H23">
        <v>3444.92</v>
      </c>
      <c r="I23">
        <v>36974.133333333302</v>
      </c>
      <c r="J23">
        <v>2664.3</v>
      </c>
      <c r="K23">
        <v>4.9166666666666599</v>
      </c>
      <c r="L23">
        <v>17031.312999999998</v>
      </c>
      <c r="M23">
        <v>96247.7</v>
      </c>
      <c r="N23">
        <v>91.468000000000004</v>
      </c>
      <c r="O23">
        <v>-7073.3</v>
      </c>
      <c r="P23">
        <v>2.8324119393333298</v>
      </c>
      <c r="Q23">
        <v>14684.1</v>
      </c>
      <c r="R23">
        <v>10680.8</v>
      </c>
      <c r="S23">
        <v>0.08</v>
      </c>
      <c r="T23">
        <v>9900.2000000000007</v>
      </c>
      <c r="U23">
        <v>44047.433333333298</v>
      </c>
      <c r="V23">
        <v>11239.18</v>
      </c>
    </row>
    <row r="24" spans="1:22" x14ac:dyDescent="0.25">
      <c r="A24" s="1">
        <v>40878</v>
      </c>
      <c r="B24">
        <v>7.8377933333333303</v>
      </c>
      <c r="C24">
        <v>45619.6</v>
      </c>
      <c r="D24">
        <v>42743.936666666603</v>
      </c>
      <c r="E24">
        <v>203.75373666666599</v>
      </c>
      <c r="F24">
        <v>96206</v>
      </c>
      <c r="G24">
        <v>8454.2199999999993</v>
      </c>
      <c r="H24">
        <v>5569.76</v>
      </c>
      <c r="I24">
        <v>38446.766666666597</v>
      </c>
      <c r="J24">
        <v>4836.3999999999996</v>
      </c>
      <c r="K24">
        <v>5.5</v>
      </c>
      <c r="L24">
        <v>17222.582999999999</v>
      </c>
      <c r="M24">
        <v>100318.9</v>
      </c>
      <c r="N24">
        <v>91.793999999999997</v>
      </c>
      <c r="O24">
        <v>-8136.8333333333303</v>
      </c>
      <c r="P24">
        <v>3.5107817459999899</v>
      </c>
      <c r="Q24">
        <v>15441</v>
      </c>
      <c r="R24">
        <v>11323.4</v>
      </c>
      <c r="S24">
        <v>7.0000000000000007E-2</v>
      </c>
      <c r="T24">
        <v>10590.1</v>
      </c>
      <c r="U24">
        <v>46583.6</v>
      </c>
      <c r="V24">
        <v>9871.24</v>
      </c>
    </row>
    <row r="25" spans="1:22" x14ac:dyDescent="0.25">
      <c r="A25" s="1">
        <v>40969</v>
      </c>
      <c r="B25">
        <v>7.7554400000000001</v>
      </c>
      <c r="C25">
        <v>45547.833333333299</v>
      </c>
      <c r="D25">
        <v>42129.359999999899</v>
      </c>
      <c r="E25">
        <v>205.852366666666</v>
      </c>
      <c r="F25">
        <v>98146.8</v>
      </c>
      <c r="G25">
        <v>8197.66</v>
      </c>
      <c r="H25">
        <v>1655.19</v>
      </c>
      <c r="I25">
        <v>39062.466666666602</v>
      </c>
      <c r="J25">
        <v>-939.6</v>
      </c>
      <c r="K25">
        <v>5.5</v>
      </c>
      <c r="L25">
        <v>17367.009999999998</v>
      </c>
      <c r="M25">
        <v>101001.4</v>
      </c>
      <c r="N25">
        <v>92.373000000000005</v>
      </c>
      <c r="O25">
        <v>-5075.9333333333298</v>
      </c>
      <c r="P25">
        <v>3.2580893940000002</v>
      </c>
      <c r="Q25">
        <v>14820.7</v>
      </c>
      <c r="R25">
        <v>11420</v>
      </c>
      <c r="S25">
        <v>0.1</v>
      </c>
      <c r="T25">
        <v>8825.2999999999993</v>
      </c>
      <c r="U25">
        <v>44138.400000000001</v>
      </c>
      <c r="V25">
        <v>13165.51</v>
      </c>
    </row>
    <row r="26" spans="1:22" x14ac:dyDescent="0.25">
      <c r="A26" s="1">
        <v>41061</v>
      </c>
      <c r="B26">
        <v>7.81515</v>
      </c>
      <c r="C26">
        <v>47346.933333333298</v>
      </c>
      <c r="D26">
        <v>44055.506666666603</v>
      </c>
      <c r="E26">
        <v>208.06119333333299</v>
      </c>
      <c r="F26">
        <v>95001.2</v>
      </c>
      <c r="G26">
        <v>10185.19</v>
      </c>
      <c r="H26">
        <v>2665</v>
      </c>
      <c r="I26">
        <v>38602.699999999997</v>
      </c>
      <c r="J26">
        <v>730.4</v>
      </c>
      <c r="K26">
        <v>5.5</v>
      </c>
      <c r="L26">
        <v>17444.525000000001</v>
      </c>
      <c r="M26">
        <v>98806.399999999994</v>
      </c>
      <c r="N26">
        <v>92.754999999999995</v>
      </c>
      <c r="O26">
        <v>-9155.0666666666602</v>
      </c>
      <c r="P26">
        <v>3.51168354066666</v>
      </c>
      <c r="Q26">
        <v>15216.6</v>
      </c>
      <c r="R26">
        <v>10944.6</v>
      </c>
      <c r="S26">
        <v>0.15</v>
      </c>
      <c r="T26">
        <v>9010</v>
      </c>
      <c r="U26">
        <v>47757.766666666597</v>
      </c>
      <c r="V26">
        <v>12551.6</v>
      </c>
    </row>
    <row r="27" spans="1:22" x14ac:dyDescent="0.25">
      <c r="A27" s="1">
        <v>41153</v>
      </c>
      <c r="B27">
        <v>7.9122233333333298</v>
      </c>
      <c r="C27">
        <v>47473.333333333299</v>
      </c>
      <c r="D27">
        <v>48420.576666666602</v>
      </c>
      <c r="E27">
        <v>210.50357666666599</v>
      </c>
      <c r="F27">
        <v>95942.2</v>
      </c>
      <c r="G27">
        <v>9724.49</v>
      </c>
      <c r="H27">
        <v>3463.35</v>
      </c>
      <c r="I27">
        <v>38620.033333333296</v>
      </c>
      <c r="J27">
        <v>4195.7999999999902</v>
      </c>
      <c r="K27">
        <v>5</v>
      </c>
      <c r="L27">
        <v>17469.650000000001</v>
      </c>
      <c r="M27">
        <v>98662.2</v>
      </c>
      <c r="N27">
        <v>93.022999999999996</v>
      </c>
      <c r="O27">
        <v>-9929.1666666666606</v>
      </c>
      <c r="P27">
        <v>3.1046520976666598</v>
      </c>
      <c r="Q27">
        <v>15110.2</v>
      </c>
      <c r="R27">
        <v>11282.1</v>
      </c>
      <c r="S27">
        <v>0.14000000000000001</v>
      </c>
      <c r="T27">
        <v>12014.5</v>
      </c>
      <c r="U27">
        <v>48549.2</v>
      </c>
      <c r="V27">
        <v>11646.85</v>
      </c>
    </row>
    <row r="28" spans="1:22" x14ac:dyDescent="0.25">
      <c r="A28" s="1">
        <v>41244</v>
      </c>
      <c r="B28">
        <v>7.8763866666666598</v>
      </c>
      <c r="C28">
        <v>47189.466666666602</v>
      </c>
      <c r="D28">
        <v>48676.883333333302</v>
      </c>
      <c r="E28">
        <v>212.76001333333301</v>
      </c>
      <c r="F28">
        <v>101835.8</v>
      </c>
      <c r="G28">
        <v>9392.7799999999897</v>
      </c>
      <c r="H28">
        <v>5228.5</v>
      </c>
      <c r="I28">
        <v>41991.366666666603</v>
      </c>
      <c r="J28">
        <v>5459.2</v>
      </c>
      <c r="K28">
        <v>5</v>
      </c>
      <c r="L28">
        <v>17489.851999999999</v>
      </c>
      <c r="M28">
        <v>103889.3</v>
      </c>
      <c r="N28">
        <v>93.435000000000002</v>
      </c>
      <c r="O28">
        <v>-6487.7333333333299</v>
      </c>
      <c r="P28">
        <v>2.6823046456666599</v>
      </c>
      <c r="Q28">
        <v>16414.400000000001</v>
      </c>
      <c r="R28">
        <v>12227.199999999901</v>
      </c>
      <c r="S28">
        <v>0.16</v>
      </c>
      <c r="T28">
        <v>12457.9</v>
      </c>
      <c r="U28">
        <v>48479.1</v>
      </c>
      <c r="V28">
        <v>11185.9</v>
      </c>
    </row>
    <row r="29" spans="1:22" x14ac:dyDescent="0.25">
      <c r="A29" s="1">
        <v>41334</v>
      </c>
      <c r="B29">
        <v>7.8132599999999996</v>
      </c>
      <c r="C29">
        <v>49056.133333333302</v>
      </c>
      <c r="D29">
        <v>51514.52</v>
      </c>
      <c r="E29">
        <v>215.53486999999899</v>
      </c>
      <c r="F29">
        <v>103834.56359999999</v>
      </c>
      <c r="G29">
        <v>8850.66</v>
      </c>
      <c r="H29">
        <v>1887.00999999999</v>
      </c>
      <c r="I29">
        <v>42653.666666666599</v>
      </c>
      <c r="J29">
        <v>-602.6</v>
      </c>
      <c r="K29">
        <v>5</v>
      </c>
      <c r="L29">
        <v>17662.400000000001</v>
      </c>
      <c r="M29">
        <v>103960.1024</v>
      </c>
      <c r="N29">
        <v>93.8</v>
      </c>
      <c r="O29">
        <v>-9203.1333333333296</v>
      </c>
      <c r="P29">
        <v>2.431259753</v>
      </c>
      <c r="Q29">
        <v>14521.32164</v>
      </c>
      <c r="R29">
        <v>12194</v>
      </c>
      <c r="S29">
        <v>0.14000000000000001</v>
      </c>
      <c r="T29">
        <v>9704.4</v>
      </c>
      <c r="U29">
        <v>51856.800000000003</v>
      </c>
      <c r="V29">
        <v>12634.31164</v>
      </c>
    </row>
    <row r="30" spans="1:22" x14ac:dyDescent="0.25">
      <c r="A30" s="1">
        <v>41426</v>
      </c>
      <c r="B30">
        <v>7.8039666666666596</v>
      </c>
      <c r="C30">
        <v>49486.1</v>
      </c>
      <c r="D30">
        <v>53454.336666666597</v>
      </c>
      <c r="E30">
        <v>217.771246666666</v>
      </c>
      <c r="F30">
        <v>102176.59020000001</v>
      </c>
      <c r="G30">
        <v>10498.4399999999</v>
      </c>
      <c r="H30">
        <v>2925.45</v>
      </c>
      <c r="I30">
        <v>43387.266666666597</v>
      </c>
      <c r="J30">
        <v>2693</v>
      </c>
      <c r="K30">
        <v>5.25</v>
      </c>
      <c r="L30">
        <v>17709.670999999998</v>
      </c>
      <c r="M30">
        <v>103201.22930000001</v>
      </c>
      <c r="N30">
        <v>94.063999999999993</v>
      </c>
      <c r="O30">
        <v>-9848.9333333333307</v>
      </c>
      <c r="P30">
        <v>2.594730389</v>
      </c>
      <c r="Q30">
        <v>15653.602010000001</v>
      </c>
      <c r="R30">
        <v>12024.7</v>
      </c>
      <c r="S30">
        <v>0.12</v>
      </c>
      <c r="T30">
        <v>11792.2</v>
      </c>
      <c r="U30">
        <v>53236.2</v>
      </c>
      <c r="V30">
        <v>12728.15201</v>
      </c>
    </row>
    <row r="31" spans="1:22" x14ac:dyDescent="0.25">
      <c r="A31" s="1">
        <v>41518</v>
      </c>
      <c r="B31">
        <v>7.9135866666666601</v>
      </c>
      <c r="C31">
        <v>50044.9</v>
      </c>
      <c r="D31">
        <v>51712.2633333333</v>
      </c>
      <c r="E31">
        <v>219.374926666666</v>
      </c>
      <c r="F31">
        <v>102217.26420000001</v>
      </c>
      <c r="G31">
        <v>10467.969999999999</v>
      </c>
      <c r="H31">
        <v>2988.95</v>
      </c>
      <c r="I31">
        <v>42940.966666666602</v>
      </c>
      <c r="J31">
        <v>2270.4</v>
      </c>
      <c r="K31">
        <v>5.25</v>
      </c>
      <c r="L31">
        <v>17860.45</v>
      </c>
      <c r="M31">
        <v>102372.50810000001</v>
      </c>
      <c r="N31">
        <v>94.433999999999997</v>
      </c>
      <c r="O31">
        <v>-5130.3</v>
      </c>
      <c r="P31">
        <v>2.6716211996666601</v>
      </c>
      <c r="Q31">
        <v>16060.583629999999</v>
      </c>
      <c r="R31">
        <v>12452.5</v>
      </c>
      <c r="S31">
        <v>0.09</v>
      </c>
      <c r="T31">
        <v>11734</v>
      </c>
      <c r="U31">
        <v>48071.266666666597</v>
      </c>
      <c r="V31">
        <v>13071.63363</v>
      </c>
    </row>
    <row r="32" spans="1:22" x14ac:dyDescent="0.25">
      <c r="A32" s="1">
        <v>41609</v>
      </c>
      <c r="B32">
        <v>7.8881899999999998</v>
      </c>
      <c r="C32">
        <v>50697.733333333301</v>
      </c>
      <c r="D32">
        <v>53109.889999999898</v>
      </c>
      <c r="E32">
        <v>220.98630333333301</v>
      </c>
      <c r="F32">
        <v>108154.8023</v>
      </c>
      <c r="G32">
        <v>10285.57</v>
      </c>
      <c r="H32">
        <v>4912.28</v>
      </c>
      <c r="I32">
        <v>45671.533333333296</v>
      </c>
      <c r="J32">
        <v>4649</v>
      </c>
      <c r="K32">
        <v>5</v>
      </c>
      <c r="L32">
        <v>18016.147000000001</v>
      </c>
      <c r="M32">
        <v>106849.3805</v>
      </c>
      <c r="N32">
        <v>94.840999999999994</v>
      </c>
      <c r="O32">
        <v>-5034.6333333333296</v>
      </c>
      <c r="P32">
        <v>2.6464482629999999</v>
      </c>
      <c r="Q32">
        <v>16599.084620000001</v>
      </c>
      <c r="R32">
        <v>12588</v>
      </c>
      <c r="S32">
        <v>0.09</v>
      </c>
      <c r="T32">
        <v>12324.7</v>
      </c>
      <c r="U32">
        <v>50706.166666666599</v>
      </c>
      <c r="V32">
        <v>11686.804620000001</v>
      </c>
    </row>
    <row r="33" spans="1:22" x14ac:dyDescent="0.25">
      <c r="A33" s="1">
        <v>41699</v>
      </c>
      <c r="B33">
        <v>7.7610066666666597</v>
      </c>
      <c r="C33">
        <v>51027.7</v>
      </c>
      <c r="D33">
        <v>53829.103333333303</v>
      </c>
      <c r="E33">
        <v>222.74112</v>
      </c>
      <c r="F33">
        <v>109523.7172</v>
      </c>
      <c r="G33">
        <v>9601.18</v>
      </c>
      <c r="H33">
        <v>1760.06</v>
      </c>
      <c r="I33">
        <v>43905.233333333301</v>
      </c>
      <c r="J33">
        <v>-725.099999999999</v>
      </c>
      <c r="K33">
        <v>5</v>
      </c>
      <c r="L33">
        <v>17953.973999999998</v>
      </c>
      <c r="M33">
        <v>108289.467</v>
      </c>
      <c r="N33">
        <v>95.141000000000005</v>
      </c>
      <c r="O33">
        <v>-3946.7666666666601</v>
      </c>
      <c r="P33">
        <v>2.5252924210000001</v>
      </c>
      <c r="Q33">
        <v>15781.525680000001</v>
      </c>
      <c r="R33">
        <v>12621.3</v>
      </c>
      <c r="S33">
        <v>7.0000000000000007E-2</v>
      </c>
      <c r="T33">
        <v>10136.4</v>
      </c>
      <c r="U33">
        <v>47852</v>
      </c>
      <c r="V33">
        <v>14021.465679999999</v>
      </c>
    </row>
    <row r="34" spans="1:22" x14ac:dyDescent="0.25">
      <c r="A34" s="1">
        <v>41791</v>
      </c>
      <c r="B34">
        <v>7.7629333333333301</v>
      </c>
      <c r="C34">
        <v>56326.333333333299</v>
      </c>
      <c r="D34">
        <v>53789.586666666597</v>
      </c>
      <c r="E34">
        <v>224.63159666666601</v>
      </c>
      <c r="F34">
        <v>109403.59239999999</v>
      </c>
      <c r="G34">
        <v>11385.05</v>
      </c>
      <c r="H34">
        <v>3760.75</v>
      </c>
      <c r="I34">
        <v>44924.733333333301</v>
      </c>
      <c r="J34">
        <v>3163.1</v>
      </c>
      <c r="K34">
        <v>4.75</v>
      </c>
      <c r="L34">
        <v>18185.911</v>
      </c>
      <c r="M34">
        <v>107649.75199999999</v>
      </c>
      <c r="N34">
        <v>95.555999999999997</v>
      </c>
      <c r="O34">
        <v>-7307.7333333333299</v>
      </c>
      <c r="P34">
        <v>2.1630189729999998</v>
      </c>
      <c r="Q34">
        <v>16955.547699999999</v>
      </c>
      <c r="R34">
        <v>12845</v>
      </c>
      <c r="S34">
        <v>0.09</v>
      </c>
      <c r="T34">
        <v>12247.4</v>
      </c>
      <c r="U34">
        <v>52232.466666666602</v>
      </c>
      <c r="V34">
        <v>13194.797699999999</v>
      </c>
    </row>
    <row r="35" spans="1:22" x14ac:dyDescent="0.25">
      <c r="A35" s="1">
        <v>41883</v>
      </c>
      <c r="B35">
        <v>7.7514733333333297</v>
      </c>
      <c r="C35">
        <v>55787.266666666597</v>
      </c>
      <c r="D35">
        <v>53555.11</v>
      </c>
      <c r="E35">
        <v>226.47525999999999</v>
      </c>
      <c r="F35">
        <v>111334.2455</v>
      </c>
      <c r="G35">
        <v>11206.78</v>
      </c>
      <c r="H35">
        <v>3648.94</v>
      </c>
      <c r="I35">
        <v>46726.733333333301</v>
      </c>
      <c r="J35">
        <v>2400.1999999999998</v>
      </c>
      <c r="K35">
        <v>4.5</v>
      </c>
      <c r="L35">
        <v>18406.940999999999</v>
      </c>
      <c r="M35">
        <v>106782.8735</v>
      </c>
      <c r="N35">
        <v>95.915000000000006</v>
      </c>
      <c r="O35">
        <v>-4229</v>
      </c>
      <c r="P35">
        <v>2.1845056406666599</v>
      </c>
      <c r="Q35">
        <v>17134.954000000002</v>
      </c>
      <c r="R35">
        <v>13518.6</v>
      </c>
      <c r="S35">
        <v>0.09</v>
      </c>
      <c r="T35">
        <v>12269.8</v>
      </c>
      <c r="U35">
        <v>50955.733333333301</v>
      </c>
      <c r="V35">
        <v>13486.013999999999</v>
      </c>
    </row>
    <row r="36" spans="1:22" x14ac:dyDescent="0.25">
      <c r="A36" s="1">
        <v>41974</v>
      </c>
      <c r="B36">
        <v>7.6175699999999997</v>
      </c>
      <c r="C36">
        <v>55611.933333333298</v>
      </c>
      <c r="D36">
        <v>52800.5666666666</v>
      </c>
      <c r="E36">
        <v>227.884353333333</v>
      </c>
      <c r="F36">
        <v>117064.7711</v>
      </c>
      <c r="G36">
        <v>10622.4</v>
      </c>
      <c r="H36">
        <v>4177.6899999999996</v>
      </c>
      <c r="I36">
        <v>47624.7</v>
      </c>
      <c r="J36">
        <v>3756.2</v>
      </c>
      <c r="K36">
        <v>4.3333333333333304</v>
      </c>
      <c r="L36">
        <v>18500.030999999999</v>
      </c>
      <c r="M36">
        <v>112165.1058</v>
      </c>
      <c r="N36">
        <v>96.174999999999997</v>
      </c>
      <c r="O36">
        <v>-3260.5333333333301</v>
      </c>
      <c r="P36">
        <v>2.3137576756666598</v>
      </c>
      <c r="Q36">
        <v>17995.327979999998</v>
      </c>
      <c r="R36">
        <v>13239.1</v>
      </c>
      <c r="S36">
        <v>0.1</v>
      </c>
      <c r="T36">
        <v>12817.699999999901</v>
      </c>
      <c r="U36">
        <v>50885.233333333301</v>
      </c>
      <c r="V36">
        <v>13817.637979999899</v>
      </c>
    </row>
    <row r="37" spans="1:22" x14ac:dyDescent="0.25">
      <c r="A37" s="1">
        <v>42064</v>
      </c>
      <c r="B37">
        <v>7.6425033333333303</v>
      </c>
      <c r="C37">
        <v>60547.166666666599</v>
      </c>
      <c r="D37">
        <v>55781.646666666602</v>
      </c>
      <c r="E37">
        <v>229.367306666666</v>
      </c>
      <c r="F37">
        <v>117897.27529999999</v>
      </c>
      <c r="G37">
        <v>10668.07</v>
      </c>
      <c r="H37">
        <v>2239.2199999999998</v>
      </c>
      <c r="I37">
        <v>49398.833333333299</v>
      </c>
      <c r="J37">
        <v>1360.8</v>
      </c>
      <c r="K37">
        <v>3.8333333333333299</v>
      </c>
      <c r="L37">
        <v>18666.620999999999</v>
      </c>
      <c r="M37">
        <v>113343.54459999999</v>
      </c>
      <c r="N37">
        <v>96.335999999999999</v>
      </c>
      <c r="O37">
        <v>-5903.7666666666601</v>
      </c>
      <c r="P37">
        <v>2.4847527803333298</v>
      </c>
      <c r="Q37">
        <v>16063.27223</v>
      </c>
      <c r="R37">
        <v>13116.3</v>
      </c>
      <c r="S37">
        <v>0.11</v>
      </c>
      <c r="T37">
        <v>12237.9</v>
      </c>
      <c r="U37">
        <v>55302.6</v>
      </c>
      <c r="V37">
        <v>13824.052229999999</v>
      </c>
    </row>
    <row r="38" spans="1:22" x14ac:dyDescent="0.25">
      <c r="A38" s="1">
        <v>42156</v>
      </c>
      <c r="B38">
        <v>7.6828766666666599</v>
      </c>
      <c r="C38">
        <v>62031.5</v>
      </c>
      <c r="D38">
        <v>56921.32</v>
      </c>
      <c r="E38">
        <v>231.087283333333</v>
      </c>
      <c r="F38">
        <v>116183.442</v>
      </c>
      <c r="G38">
        <v>11976.279999999901</v>
      </c>
      <c r="H38">
        <v>3022.8999999999901</v>
      </c>
      <c r="I38">
        <v>51819.199999999997</v>
      </c>
      <c r="J38">
        <v>2318.5</v>
      </c>
      <c r="K38">
        <v>3.5</v>
      </c>
      <c r="L38">
        <v>18782.242999999999</v>
      </c>
      <c r="M38">
        <v>111016.0223</v>
      </c>
      <c r="N38">
        <v>96.765000000000001</v>
      </c>
      <c r="O38">
        <v>-6957.5</v>
      </c>
      <c r="P38">
        <v>2.389748929</v>
      </c>
      <c r="Q38">
        <v>16287.518309999999</v>
      </c>
      <c r="R38">
        <v>12979</v>
      </c>
      <c r="S38">
        <v>0.13</v>
      </c>
      <c r="T38">
        <v>12274.7</v>
      </c>
      <c r="U38">
        <v>58776.7</v>
      </c>
      <c r="V38">
        <v>13264.61831</v>
      </c>
    </row>
    <row r="39" spans="1:22" x14ac:dyDescent="0.25">
      <c r="A39" s="1">
        <v>42248</v>
      </c>
      <c r="B39">
        <v>7.6679966666666601</v>
      </c>
      <c r="C39">
        <v>61197.133333333302</v>
      </c>
      <c r="D39">
        <v>56369.793333333299</v>
      </c>
      <c r="E39">
        <v>232.89532</v>
      </c>
      <c r="F39">
        <v>118716.5307</v>
      </c>
      <c r="G39">
        <v>12570.17</v>
      </c>
      <c r="H39">
        <v>2685.88</v>
      </c>
      <c r="I39">
        <v>51820.533333333296</v>
      </c>
      <c r="J39">
        <v>1538.69999999999</v>
      </c>
      <c r="K39">
        <v>3.25</v>
      </c>
      <c r="L39">
        <v>18857.418000000001</v>
      </c>
      <c r="M39">
        <v>112035.39479999999</v>
      </c>
      <c r="N39">
        <v>97.076999999999998</v>
      </c>
      <c r="O39">
        <v>-4565.5</v>
      </c>
      <c r="P39">
        <v>2.791541107</v>
      </c>
      <c r="Q39">
        <v>17793.53729</v>
      </c>
      <c r="R39">
        <v>13433.4</v>
      </c>
      <c r="S39">
        <v>0.13</v>
      </c>
      <c r="T39">
        <v>12286.3</v>
      </c>
      <c r="U39">
        <v>56386.033333333296</v>
      </c>
      <c r="V39">
        <v>15107.657289999999</v>
      </c>
    </row>
    <row r="40" spans="1:22" x14ac:dyDescent="0.25">
      <c r="A40" s="1">
        <v>42339</v>
      </c>
      <c r="B40">
        <v>7.6357799999999996</v>
      </c>
      <c r="C40">
        <v>61243.0666666666</v>
      </c>
      <c r="D40">
        <v>56101.67</v>
      </c>
      <c r="E40">
        <v>234.526553333333</v>
      </c>
      <c r="F40">
        <v>123225.5732</v>
      </c>
      <c r="G40">
        <v>12910.5799999999</v>
      </c>
      <c r="H40">
        <v>2686.18</v>
      </c>
      <c r="I40">
        <v>53876.266666666597</v>
      </c>
      <c r="J40">
        <v>1789.3</v>
      </c>
      <c r="K40">
        <v>3</v>
      </c>
      <c r="L40">
        <v>18892.205999999998</v>
      </c>
      <c r="M40">
        <v>116288.5631</v>
      </c>
      <c r="N40">
        <v>97.319000000000003</v>
      </c>
      <c r="O40">
        <v>-4307.3333333333303</v>
      </c>
      <c r="P40">
        <v>2.90105692433333</v>
      </c>
      <c r="Q40">
        <v>18957.909459999999</v>
      </c>
      <c r="R40">
        <v>13355.2</v>
      </c>
      <c r="S40">
        <v>0.16</v>
      </c>
      <c r="T40">
        <v>12458.2</v>
      </c>
      <c r="U40">
        <v>58183.6</v>
      </c>
      <c r="V40">
        <v>16271.7294599999</v>
      </c>
    </row>
    <row r="41" spans="1:22" x14ac:dyDescent="0.25">
      <c r="A41" s="1">
        <v>42430</v>
      </c>
      <c r="B41">
        <v>7.6903033333333299</v>
      </c>
      <c r="C41">
        <v>63446.400000000001</v>
      </c>
      <c r="D41">
        <v>56576.576666666602</v>
      </c>
      <c r="E41">
        <v>236.19214666666599</v>
      </c>
      <c r="F41">
        <v>123838.5435</v>
      </c>
      <c r="G41">
        <v>12791.21</v>
      </c>
      <c r="H41">
        <v>1661.46</v>
      </c>
      <c r="I41">
        <v>53521.366666666603</v>
      </c>
      <c r="J41">
        <v>-272.7</v>
      </c>
      <c r="K41">
        <v>3</v>
      </c>
      <c r="L41">
        <v>19001.689999999999</v>
      </c>
      <c r="M41">
        <v>115243.1134</v>
      </c>
      <c r="N41">
        <v>97.725999999999999</v>
      </c>
      <c r="O41">
        <v>-4615.2</v>
      </c>
      <c r="P41">
        <v>3.2407378293333302</v>
      </c>
      <c r="Q41">
        <v>16061.27232</v>
      </c>
      <c r="R41">
        <v>13458.3</v>
      </c>
      <c r="S41">
        <v>0.36</v>
      </c>
      <c r="T41">
        <v>11524.2</v>
      </c>
      <c r="U41">
        <v>58136.5666666666</v>
      </c>
      <c r="V41">
        <v>14399.812320000001</v>
      </c>
    </row>
    <row r="42" spans="1:22" x14ac:dyDescent="0.25">
      <c r="A42" s="1">
        <v>42522</v>
      </c>
      <c r="B42">
        <v>7.6656666666666604</v>
      </c>
      <c r="C42">
        <v>63516.233333333301</v>
      </c>
      <c r="D42">
        <v>59568.74</v>
      </c>
      <c r="E42">
        <v>237.971546666666</v>
      </c>
      <c r="F42">
        <v>122799.36689999999</v>
      </c>
      <c r="G42">
        <v>14175.13</v>
      </c>
      <c r="H42">
        <v>2375.63</v>
      </c>
      <c r="I42">
        <v>55604.033333333296</v>
      </c>
      <c r="J42">
        <v>-243.8</v>
      </c>
      <c r="K42">
        <v>3</v>
      </c>
      <c r="L42">
        <v>19062.708999999999</v>
      </c>
      <c r="M42">
        <v>115126.2594</v>
      </c>
      <c r="N42">
        <v>98.262</v>
      </c>
      <c r="O42">
        <v>-8378.7666666666591</v>
      </c>
      <c r="P42">
        <v>2.7828881563333301</v>
      </c>
      <c r="Q42">
        <v>17445.984359999999</v>
      </c>
      <c r="R42">
        <v>14397.0999999999</v>
      </c>
      <c r="S42">
        <v>0.37</v>
      </c>
      <c r="T42">
        <v>11777.8</v>
      </c>
      <c r="U42">
        <v>63982.8</v>
      </c>
      <c r="V42">
        <v>15070.354359999899</v>
      </c>
    </row>
    <row r="43" spans="1:22" x14ac:dyDescent="0.25">
      <c r="A43" s="1">
        <v>42614</v>
      </c>
      <c r="B43">
        <v>7.5449533333333303</v>
      </c>
      <c r="C43">
        <v>63816.633333333302</v>
      </c>
      <c r="D43">
        <v>59895.023333333302</v>
      </c>
      <c r="E43">
        <v>239.66417000000001</v>
      </c>
      <c r="F43">
        <v>124518.04949999999</v>
      </c>
      <c r="G43">
        <v>13300.82</v>
      </c>
      <c r="H43">
        <v>2617.0299999999902</v>
      </c>
      <c r="I43">
        <v>57080.5666666666</v>
      </c>
      <c r="J43">
        <v>1692.2</v>
      </c>
      <c r="K43">
        <v>3</v>
      </c>
      <c r="L43">
        <v>19197.937999999998</v>
      </c>
      <c r="M43">
        <v>114354.243</v>
      </c>
      <c r="N43">
        <v>98.688999999999993</v>
      </c>
      <c r="O43">
        <v>-8681.4333333333307</v>
      </c>
      <c r="P43">
        <v>2.3439094109999998</v>
      </c>
      <c r="Q43">
        <v>17127.936740000001</v>
      </c>
      <c r="R43">
        <v>14806.6</v>
      </c>
      <c r="S43">
        <v>0.39</v>
      </c>
      <c r="T43">
        <v>13881.8</v>
      </c>
      <c r="U43">
        <v>65762</v>
      </c>
      <c r="V43">
        <v>14510.90674</v>
      </c>
    </row>
    <row r="44" spans="1:22" x14ac:dyDescent="0.25">
      <c r="A44" s="1">
        <v>42705</v>
      </c>
      <c r="B44">
        <v>7.5165833333333296</v>
      </c>
      <c r="C44">
        <v>64933.299999999901</v>
      </c>
      <c r="D44">
        <v>59609.536666666601</v>
      </c>
      <c r="E44">
        <v>241.18182999999999</v>
      </c>
      <c r="F44">
        <v>130845.7444</v>
      </c>
      <c r="G44">
        <v>14166.89</v>
      </c>
      <c r="H44">
        <v>4351.41</v>
      </c>
      <c r="I44">
        <v>59556.6</v>
      </c>
      <c r="J44">
        <v>4396.8999999999996</v>
      </c>
      <c r="K44">
        <v>3</v>
      </c>
      <c r="L44">
        <v>19304.351999999999</v>
      </c>
      <c r="M44">
        <v>120081.8809</v>
      </c>
      <c r="N44">
        <v>99.028999999999996</v>
      </c>
      <c r="O44">
        <v>-7924.1333333333296</v>
      </c>
      <c r="P44">
        <v>2.5762829630000001</v>
      </c>
      <c r="Q44">
        <v>19001.06264</v>
      </c>
      <c r="R44">
        <v>14845.5999999999</v>
      </c>
      <c r="S44">
        <v>0.45</v>
      </c>
      <c r="T44">
        <v>14891.0999999999</v>
      </c>
      <c r="U44">
        <v>67480.733333333294</v>
      </c>
      <c r="V44">
        <v>14649.65264</v>
      </c>
    </row>
    <row r="45" spans="1:22" x14ac:dyDescent="0.25">
      <c r="A45" s="1">
        <v>42795</v>
      </c>
      <c r="B45">
        <v>7.3942399999999999</v>
      </c>
      <c r="C45">
        <v>66723.333333333299</v>
      </c>
      <c r="D45">
        <v>58272.29</v>
      </c>
      <c r="E45">
        <v>243.08084666666599</v>
      </c>
      <c r="F45">
        <v>131682.7084</v>
      </c>
      <c r="G45">
        <v>14345.87</v>
      </c>
      <c r="H45">
        <v>1980.03</v>
      </c>
      <c r="I45">
        <v>60906.133333333302</v>
      </c>
      <c r="J45">
        <v>-1119.5999999999999</v>
      </c>
      <c r="K45">
        <v>3</v>
      </c>
      <c r="L45">
        <v>19398.343000000001</v>
      </c>
      <c r="M45">
        <v>120681.26489999999</v>
      </c>
      <c r="N45">
        <v>99.488</v>
      </c>
      <c r="O45">
        <v>-8016.4</v>
      </c>
      <c r="P45">
        <v>2.2935873603333299</v>
      </c>
      <c r="Q45">
        <v>16797.886460000002</v>
      </c>
      <c r="R45">
        <v>14655</v>
      </c>
      <c r="S45">
        <v>0.7</v>
      </c>
      <c r="T45">
        <v>11555.3</v>
      </c>
      <c r="U45">
        <v>68922.533333333296</v>
      </c>
      <c r="V45">
        <v>14817.856460000001</v>
      </c>
    </row>
    <row r="46" spans="1:22" x14ac:dyDescent="0.25">
      <c r="A46" s="1">
        <v>42887</v>
      </c>
      <c r="B46">
        <v>7.3422166666666602</v>
      </c>
      <c r="C46">
        <v>68754.3</v>
      </c>
      <c r="D46">
        <v>58450.963333333297</v>
      </c>
      <c r="E46">
        <v>244.45406</v>
      </c>
      <c r="F46">
        <v>127650.414</v>
      </c>
      <c r="G46">
        <v>15500.04</v>
      </c>
      <c r="H46">
        <v>2477.7800000000002</v>
      </c>
      <c r="I46">
        <v>62646.766666666597</v>
      </c>
      <c r="J46">
        <v>647.4</v>
      </c>
      <c r="K46">
        <v>3</v>
      </c>
      <c r="L46">
        <v>19506.949000000001</v>
      </c>
      <c r="M46">
        <v>117992.10980000001</v>
      </c>
      <c r="N46">
        <v>99.820999999999998</v>
      </c>
      <c r="O46">
        <v>-11061.199999999901</v>
      </c>
      <c r="P46">
        <v>2.1152125573333298</v>
      </c>
      <c r="Q46">
        <v>17179.231469999999</v>
      </c>
      <c r="R46">
        <v>15038</v>
      </c>
      <c r="S46">
        <v>0.95</v>
      </c>
      <c r="T46">
        <v>13207.5999999999</v>
      </c>
      <c r="U46">
        <v>73707.966666666602</v>
      </c>
      <c r="V46">
        <v>14701.4514699999</v>
      </c>
    </row>
    <row r="47" spans="1:22" x14ac:dyDescent="0.25">
      <c r="A47" s="1">
        <v>42979</v>
      </c>
      <c r="B47">
        <v>7.3058266666666603</v>
      </c>
      <c r="C47">
        <v>69735.833333333299</v>
      </c>
      <c r="D47">
        <v>60040.99</v>
      </c>
      <c r="E47">
        <v>245.78439333333301</v>
      </c>
      <c r="F47">
        <v>130291.6691</v>
      </c>
      <c r="G47">
        <v>14939.87</v>
      </c>
      <c r="H47">
        <v>3080.5999999999899</v>
      </c>
      <c r="I47">
        <v>62242.5</v>
      </c>
      <c r="J47">
        <v>2025.2</v>
      </c>
      <c r="K47">
        <v>3</v>
      </c>
      <c r="L47">
        <v>19660.766</v>
      </c>
      <c r="M47">
        <v>117906.12699999999</v>
      </c>
      <c r="N47">
        <v>100.123</v>
      </c>
      <c r="O47">
        <v>-13291.866666666599</v>
      </c>
      <c r="P47">
        <v>2.1607237160000001</v>
      </c>
      <c r="Q47">
        <v>18703.369610000002</v>
      </c>
      <c r="R47">
        <v>14863.5</v>
      </c>
      <c r="S47">
        <v>1.1499999999999999</v>
      </c>
      <c r="T47">
        <v>13808.199999999901</v>
      </c>
      <c r="U47">
        <v>75534.366666666596</v>
      </c>
      <c r="V47">
        <v>15622.769609999999</v>
      </c>
    </row>
    <row r="48" spans="1:22" x14ac:dyDescent="0.25">
      <c r="A48" s="1">
        <v>43070</v>
      </c>
      <c r="B48">
        <v>7.3429466666666601</v>
      </c>
      <c r="C48">
        <v>71325.3</v>
      </c>
      <c r="D48">
        <v>59927.47</v>
      </c>
      <c r="E48">
        <v>247.33489</v>
      </c>
      <c r="F48">
        <v>136882.62280000001</v>
      </c>
      <c r="G48">
        <v>15382.7</v>
      </c>
      <c r="H48">
        <v>4594.75</v>
      </c>
      <c r="I48">
        <v>65808.966666666602</v>
      </c>
      <c r="J48">
        <v>5734.9</v>
      </c>
      <c r="K48">
        <v>2.8333333333333299</v>
      </c>
      <c r="L48">
        <v>19882.351999999999</v>
      </c>
      <c r="M48">
        <v>122541.31299999999</v>
      </c>
      <c r="N48">
        <v>100.568</v>
      </c>
      <c r="O48">
        <v>-11374.4666666666</v>
      </c>
      <c r="P48">
        <v>2.0497434213333299</v>
      </c>
      <c r="Q48">
        <v>18974.166939999999</v>
      </c>
      <c r="R48">
        <v>15430.3</v>
      </c>
      <c r="S48">
        <v>1.2</v>
      </c>
      <c r="T48">
        <v>16570.5</v>
      </c>
      <c r="U48">
        <v>77183.433333333305</v>
      </c>
      <c r="V48">
        <v>14379.416939999999</v>
      </c>
    </row>
    <row r="49" spans="1:22" x14ac:dyDescent="0.25">
      <c r="A49" s="1">
        <v>43160</v>
      </c>
      <c r="B49">
        <v>7.3764066666666599</v>
      </c>
      <c r="C49">
        <v>73555.100000000006</v>
      </c>
      <c r="D49">
        <v>59720.916666666599</v>
      </c>
      <c r="E49">
        <v>248.880793333333</v>
      </c>
      <c r="F49">
        <v>136945.13449999999</v>
      </c>
      <c r="G49">
        <v>14896.949999999901</v>
      </c>
      <c r="H49">
        <v>1926.93</v>
      </c>
      <c r="I49">
        <v>66981.8</v>
      </c>
      <c r="J49">
        <v>-1253.5999999999999</v>
      </c>
      <c r="K49">
        <v>2.75</v>
      </c>
      <c r="L49">
        <v>20044.077000000001</v>
      </c>
      <c r="M49">
        <v>123947.76579999999</v>
      </c>
      <c r="N49">
        <v>101.208</v>
      </c>
      <c r="O49">
        <v>-10698.5333333333</v>
      </c>
      <c r="P49">
        <v>1.8790621223333299</v>
      </c>
      <c r="Q49">
        <v>17033.9486</v>
      </c>
      <c r="R49">
        <v>15217.4</v>
      </c>
      <c r="S49">
        <v>1.45</v>
      </c>
      <c r="T49">
        <v>12036.8</v>
      </c>
      <c r="U49">
        <v>77680.333333333299</v>
      </c>
      <c r="V49">
        <v>15107.018599999999</v>
      </c>
    </row>
    <row r="50" spans="1:22" x14ac:dyDescent="0.25">
      <c r="A50" s="1">
        <v>43252</v>
      </c>
      <c r="B50">
        <v>7.4637533333333304</v>
      </c>
      <c r="C50">
        <v>76247.3</v>
      </c>
      <c r="D50">
        <v>60056.449999999903</v>
      </c>
      <c r="E50">
        <v>250.484213333333</v>
      </c>
      <c r="F50">
        <v>134587.61300000001</v>
      </c>
      <c r="G50">
        <v>17764.87</v>
      </c>
      <c r="H50">
        <v>3001.17</v>
      </c>
      <c r="I50">
        <v>66262.599999999904</v>
      </c>
      <c r="J50">
        <v>1863.5</v>
      </c>
      <c r="K50">
        <v>2.75</v>
      </c>
      <c r="L50">
        <v>20150.475999999999</v>
      </c>
      <c r="M50">
        <v>123023.06110000001</v>
      </c>
      <c r="N50">
        <v>101.751</v>
      </c>
      <c r="O50">
        <v>-12006.733333333301</v>
      </c>
      <c r="P50">
        <v>2.1008642583333299</v>
      </c>
      <c r="Q50">
        <v>18724.954030000001</v>
      </c>
      <c r="R50">
        <v>15450.7</v>
      </c>
      <c r="S50">
        <v>1.74</v>
      </c>
      <c r="T50">
        <v>14312.9</v>
      </c>
      <c r="U50">
        <v>78269.333333333299</v>
      </c>
      <c r="V50">
        <v>15723.784030000001</v>
      </c>
    </row>
    <row r="51" spans="1:22" x14ac:dyDescent="0.25">
      <c r="A51" s="1">
        <v>43344</v>
      </c>
      <c r="B51">
        <v>7.5831233333333303</v>
      </c>
      <c r="C51">
        <v>79246.5</v>
      </c>
      <c r="D51">
        <v>61896.5133333333</v>
      </c>
      <c r="E51">
        <v>252.45359666666599</v>
      </c>
      <c r="F51">
        <v>136449.39689999999</v>
      </c>
      <c r="G51">
        <v>18377.71</v>
      </c>
      <c r="H51">
        <v>3841.12</v>
      </c>
      <c r="I51">
        <v>66404.399999999994</v>
      </c>
      <c r="J51">
        <v>3120.5</v>
      </c>
      <c r="K51">
        <v>2.75</v>
      </c>
      <c r="L51">
        <v>20276.153999999999</v>
      </c>
      <c r="M51">
        <v>122027.6174</v>
      </c>
      <c r="N51">
        <v>102.07599999999999</v>
      </c>
      <c r="O51">
        <v>-13776.233333333301</v>
      </c>
      <c r="P51">
        <v>2.1152176319999998</v>
      </c>
      <c r="Q51">
        <v>19486.307479999999</v>
      </c>
      <c r="R51">
        <v>15601.2</v>
      </c>
      <c r="S51">
        <v>1.93</v>
      </c>
      <c r="T51">
        <v>14880.6</v>
      </c>
      <c r="U51">
        <v>80180.633333333302</v>
      </c>
      <c r="V51">
        <v>15645.187480000001</v>
      </c>
    </row>
    <row r="52" spans="1:22" x14ac:dyDescent="0.25">
      <c r="A52" s="1">
        <v>43435</v>
      </c>
      <c r="B52">
        <v>7.7238333333333298</v>
      </c>
      <c r="C52">
        <v>82032.433333333305</v>
      </c>
      <c r="D52">
        <v>63194.653333333299</v>
      </c>
      <c r="E52">
        <v>253.71710999999999</v>
      </c>
      <c r="F52">
        <v>143385.93770000001</v>
      </c>
      <c r="G52">
        <v>19033.189999999999</v>
      </c>
      <c r="H52">
        <v>5585.83</v>
      </c>
      <c r="I52">
        <v>71211.5</v>
      </c>
      <c r="J52">
        <v>6638.1999999999898</v>
      </c>
      <c r="K52">
        <v>2.75</v>
      </c>
      <c r="L52">
        <v>20304.874</v>
      </c>
      <c r="M52">
        <v>126445.4103</v>
      </c>
      <c r="N52">
        <v>102.55200000000001</v>
      </c>
      <c r="O52">
        <v>-13171.5666666666</v>
      </c>
      <c r="P52">
        <v>2.4261608699999999</v>
      </c>
      <c r="Q52">
        <v>20269.584900000002</v>
      </c>
      <c r="R52">
        <v>16072.8</v>
      </c>
      <c r="S52">
        <v>2.2200000000000002</v>
      </c>
      <c r="T52">
        <v>17125.099999999999</v>
      </c>
      <c r="U52">
        <v>84383.066666666593</v>
      </c>
      <c r="V52">
        <v>14683.7549</v>
      </c>
    </row>
    <row r="53" spans="1:22" x14ac:dyDescent="0.25">
      <c r="A53" s="1">
        <v>43525</v>
      </c>
      <c r="B53">
        <v>7.7176900000000002</v>
      </c>
      <c r="C53">
        <v>84438</v>
      </c>
      <c r="D53">
        <v>62673.466666666602</v>
      </c>
      <c r="E53">
        <v>254.64612</v>
      </c>
      <c r="F53">
        <v>144940.7132</v>
      </c>
      <c r="G53">
        <v>17014.64</v>
      </c>
      <c r="H53">
        <v>2773.2799999999902</v>
      </c>
      <c r="I53">
        <v>71414.399999999994</v>
      </c>
      <c r="J53">
        <v>532.39999999999895</v>
      </c>
      <c r="K53">
        <v>2.75</v>
      </c>
      <c r="L53">
        <v>20431.641</v>
      </c>
      <c r="M53">
        <v>128569.4599</v>
      </c>
      <c r="N53">
        <v>102.964</v>
      </c>
      <c r="O53">
        <v>-10782.0333333333</v>
      </c>
      <c r="P53">
        <v>2.37140545133333</v>
      </c>
      <c r="Q53">
        <v>18858.334999999999</v>
      </c>
      <c r="R53">
        <v>15967.9</v>
      </c>
      <c r="S53">
        <v>2.4</v>
      </c>
      <c r="T53">
        <v>13727</v>
      </c>
      <c r="U53">
        <v>82196.433333333305</v>
      </c>
      <c r="V53">
        <v>16085.055</v>
      </c>
    </row>
    <row r="54" spans="1:22" x14ac:dyDescent="0.25">
      <c r="A54" s="1">
        <v>43617</v>
      </c>
      <c r="B54">
        <v>7.6943733333333304</v>
      </c>
      <c r="C54">
        <v>87118.966666666602</v>
      </c>
      <c r="D54">
        <v>67850.716666666602</v>
      </c>
      <c r="E54">
        <v>256.13247999999999</v>
      </c>
      <c r="F54">
        <v>145359.22760000001</v>
      </c>
      <c r="G54">
        <v>20944.64</v>
      </c>
      <c r="H54">
        <v>4012.2</v>
      </c>
      <c r="I54">
        <v>72860.366666666596</v>
      </c>
      <c r="J54">
        <v>3915.4</v>
      </c>
      <c r="K54">
        <v>2.75</v>
      </c>
      <c r="L54">
        <v>20602.275000000001</v>
      </c>
      <c r="M54">
        <v>127741.5585</v>
      </c>
      <c r="N54">
        <v>103.399</v>
      </c>
      <c r="O54">
        <v>-13542.9</v>
      </c>
      <c r="P54">
        <v>2.4014289923333298</v>
      </c>
      <c r="Q54">
        <v>21780.63766</v>
      </c>
      <c r="R54">
        <v>16025.4</v>
      </c>
      <c r="S54">
        <v>2.4</v>
      </c>
      <c r="T54">
        <v>15928.7</v>
      </c>
      <c r="U54">
        <v>86403.266666666605</v>
      </c>
      <c r="V54">
        <v>17768.43766</v>
      </c>
    </row>
    <row r="55" spans="1:22" x14ac:dyDescent="0.25">
      <c r="A55" s="1">
        <v>43709</v>
      </c>
      <c r="B55">
        <v>7.6993433333333297</v>
      </c>
      <c r="C55">
        <v>87676.366666666596</v>
      </c>
      <c r="D55">
        <v>70302.803333333301</v>
      </c>
      <c r="E55">
        <v>257.52440000000001</v>
      </c>
      <c r="F55">
        <v>147623.62040000001</v>
      </c>
      <c r="G55">
        <v>21714.87</v>
      </c>
      <c r="H55">
        <v>4240.97</v>
      </c>
      <c r="I55">
        <v>75263.733333333294</v>
      </c>
      <c r="J55">
        <v>3439.3</v>
      </c>
      <c r="K55">
        <v>2.75</v>
      </c>
      <c r="L55">
        <v>20843.322</v>
      </c>
      <c r="M55">
        <v>126951.0665</v>
      </c>
      <c r="N55">
        <v>103.783</v>
      </c>
      <c r="O55">
        <v>-16293.199999999901</v>
      </c>
      <c r="P55">
        <v>2.3500832479999998</v>
      </c>
      <c r="Q55">
        <v>21907.053209999998</v>
      </c>
      <c r="R55">
        <v>16698</v>
      </c>
      <c r="S55">
        <v>2.19</v>
      </c>
      <c r="T55">
        <v>15896.3</v>
      </c>
      <c r="U55">
        <v>91556.933333333305</v>
      </c>
      <c r="V55">
        <v>17666.083209999899</v>
      </c>
    </row>
    <row r="56" spans="1:22" x14ac:dyDescent="0.25">
      <c r="A56" s="1">
        <v>43800</v>
      </c>
      <c r="B56">
        <v>7.7037966666666602</v>
      </c>
      <c r="C56">
        <v>87158.133333333302</v>
      </c>
      <c r="D56">
        <v>69877.320000000007</v>
      </c>
      <c r="E56">
        <v>258.62581</v>
      </c>
      <c r="F56">
        <v>156048.45860000001</v>
      </c>
      <c r="G56">
        <v>21268.27</v>
      </c>
      <c r="H56">
        <v>5259.27</v>
      </c>
      <c r="I56">
        <v>79975.233333333294</v>
      </c>
      <c r="J56">
        <v>5394.4</v>
      </c>
      <c r="K56">
        <v>2.75</v>
      </c>
      <c r="L56">
        <v>20985.448</v>
      </c>
      <c r="M56">
        <v>132088.19820000001</v>
      </c>
      <c r="N56">
        <v>104.14700000000001</v>
      </c>
      <c r="O56">
        <v>-11295.233333333301</v>
      </c>
      <c r="P56">
        <v>2.2377247663333302</v>
      </c>
      <c r="Q56">
        <v>22862.949049999999</v>
      </c>
      <c r="R56">
        <v>17863.400000000001</v>
      </c>
      <c r="S56">
        <v>1.65</v>
      </c>
      <c r="T56">
        <v>17998.5</v>
      </c>
      <c r="U56">
        <v>91270.466666666602</v>
      </c>
      <c r="V56">
        <v>17603.679049999999</v>
      </c>
    </row>
    <row r="57" spans="1:22" x14ac:dyDescent="0.25">
      <c r="A57" s="1">
        <v>43891</v>
      </c>
      <c r="B57">
        <v>7.67584</v>
      </c>
      <c r="C57">
        <v>88474.9</v>
      </c>
      <c r="D57">
        <v>69139.003333333298</v>
      </c>
      <c r="E57">
        <v>259.74392999999998</v>
      </c>
      <c r="F57">
        <v>151214.1966</v>
      </c>
      <c r="G57">
        <v>18339.95</v>
      </c>
      <c r="H57">
        <v>2348.91</v>
      </c>
      <c r="I57">
        <v>80462.599999999904</v>
      </c>
      <c r="J57">
        <v>1384.29999999999</v>
      </c>
      <c r="K57">
        <v>2.75</v>
      </c>
      <c r="L57">
        <v>20709.212</v>
      </c>
      <c r="M57">
        <v>129622.7911</v>
      </c>
      <c r="N57">
        <v>104.617</v>
      </c>
      <c r="O57">
        <v>-8944.4666666666599</v>
      </c>
      <c r="P57">
        <v>2.8536088286666601</v>
      </c>
      <c r="Q57">
        <v>19353.205979999999</v>
      </c>
      <c r="R57">
        <v>15511.7</v>
      </c>
      <c r="S57">
        <v>1.25</v>
      </c>
      <c r="T57">
        <v>14547</v>
      </c>
      <c r="U57">
        <v>89407.066666666593</v>
      </c>
      <c r="V57">
        <v>17004.295979999999</v>
      </c>
    </row>
    <row r="58" spans="1:22" x14ac:dyDescent="0.25">
      <c r="A58" s="1">
        <v>43983</v>
      </c>
      <c r="B58">
        <v>7.7007300000000001</v>
      </c>
      <c r="C58">
        <v>95995.533333333296</v>
      </c>
      <c r="D58">
        <v>80257.069999999905</v>
      </c>
      <c r="E58">
        <v>261.13720999999998</v>
      </c>
      <c r="F58">
        <v>136507.745</v>
      </c>
      <c r="G58">
        <v>19179.439999999999</v>
      </c>
      <c r="H58">
        <v>5170.58</v>
      </c>
      <c r="I58">
        <v>86471.533333333296</v>
      </c>
      <c r="J58">
        <v>7997.5999999999904</v>
      </c>
      <c r="K58">
        <v>2</v>
      </c>
      <c r="L58">
        <v>19077.991999999998</v>
      </c>
      <c r="M58">
        <v>115915.48</v>
      </c>
      <c r="N58">
        <v>104.42</v>
      </c>
      <c r="O58">
        <v>-19253.666666666599</v>
      </c>
      <c r="P58">
        <v>3.8512876756666601</v>
      </c>
      <c r="Q58">
        <v>18533.558809999999</v>
      </c>
      <c r="R58">
        <v>14852.3</v>
      </c>
      <c r="S58">
        <v>0.06</v>
      </c>
      <c r="T58">
        <v>17679.2</v>
      </c>
      <c r="U58">
        <v>105725.2</v>
      </c>
      <c r="V58">
        <v>13362.9788099999</v>
      </c>
    </row>
    <row r="59" spans="1:22" x14ac:dyDescent="0.25">
      <c r="A59" s="1">
        <v>44075</v>
      </c>
      <c r="B59">
        <v>7.7415466666666601</v>
      </c>
      <c r="C59">
        <v>106450.866666666</v>
      </c>
      <c r="D59">
        <v>80203.543333333306</v>
      </c>
      <c r="E59">
        <v>262.55973999999998</v>
      </c>
      <c r="F59">
        <v>150128.76259999999</v>
      </c>
      <c r="G59">
        <v>24618.3</v>
      </c>
      <c r="H59">
        <v>4046.98</v>
      </c>
      <c r="I59">
        <v>90994.166666666599</v>
      </c>
      <c r="J59">
        <v>10046.5</v>
      </c>
      <c r="K59">
        <v>1.75</v>
      </c>
      <c r="L59">
        <v>20558.879000000001</v>
      </c>
      <c r="M59">
        <v>125160.6939</v>
      </c>
      <c r="N59">
        <v>105.197</v>
      </c>
      <c r="O59">
        <v>-15631.166666666601</v>
      </c>
      <c r="P59">
        <v>2.9369959300000001</v>
      </c>
      <c r="Q59">
        <v>21288.22336</v>
      </c>
      <c r="R59">
        <v>15200.6</v>
      </c>
      <c r="S59">
        <v>0.09</v>
      </c>
      <c r="T59">
        <v>21200.2</v>
      </c>
      <c r="U59">
        <v>106625.33333333299</v>
      </c>
      <c r="V59">
        <v>17241.24336</v>
      </c>
    </row>
    <row r="60" spans="1:22" x14ac:dyDescent="0.25">
      <c r="A60" s="1">
        <v>44166</v>
      </c>
      <c r="B60">
        <v>7.80127333333333</v>
      </c>
      <c r="C60">
        <v>108339.76666666599</v>
      </c>
      <c r="D60">
        <v>81238.8</v>
      </c>
      <c r="E60">
        <v>264.522979999999</v>
      </c>
      <c r="F60">
        <v>162271.79670000001</v>
      </c>
      <c r="G60">
        <v>25586.25</v>
      </c>
      <c r="H60">
        <v>6393.61</v>
      </c>
      <c r="I60">
        <v>99137.2</v>
      </c>
      <c r="J60">
        <v>10035</v>
      </c>
      <c r="K60">
        <v>1.75</v>
      </c>
      <c r="L60">
        <v>20791.917000000001</v>
      </c>
      <c r="M60">
        <v>135449.47159999999</v>
      </c>
      <c r="N60">
        <v>105.669</v>
      </c>
      <c r="O60">
        <v>-6475.0999999999904</v>
      </c>
      <c r="P60">
        <v>2.4125348406666598</v>
      </c>
      <c r="Q60">
        <v>23056.560389999999</v>
      </c>
      <c r="R60">
        <v>18501.099999999999</v>
      </c>
      <c r="S60">
        <v>0.09</v>
      </c>
      <c r="T60">
        <v>22142.5</v>
      </c>
      <c r="U60">
        <v>105612.3</v>
      </c>
      <c r="V60">
        <v>16662.9503899999</v>
      </c>
    </row>
    <row r="61" spans="1:22" x14ac:dyDescent="0.25">
      <c r="A61" s="1">
        <v>44256</v>
      </c>
      <c r="B61">
        <v>7.7368600000000001</v>
      </c>
      <c r="C61">
        <v>109420.433333333</v>
      </c>
      <c r="D61">
        <v>79943.94</v>
      </c>
      <c r="E61">
        <v>266.501483333333</v>
      </c>
      <c r="F61">
        <v>162670.38089999999</v>
      </c>
      <c r="G61">
        <v>24247.8</v>
      </c>
      <c r="H61">
        <v>2488.9499999999998</v>
      </c>
      <c r="I61">
        <v>98907.833333333299</v>
      </c>
      <c r="J61">
        <v>-1692.9</v>
      </c>
      <c r="K61">
        <v>1.75</v>
      </c>
      <c r="L61">
        <v>21082.133999999998</v>
      </c>
      <c r="M61">
        <v>135445.82260000001</v>
      </c>
      <c r="N61">
        <v>106.572</v>
      </c>
      <c r="O61">
        <v>-3704.1999999999898</v>
      </c>
      <c r="P61">
        <v>2.1602611533333298</v>
      </c>
      <c r="Q61">
        <v>24773.556990000001</v>
      </c>
      <c r="R61">
        <v>18918.7</v>
      </c>
      <c r="S61">
        <v>0.08</v>
      </c>
      <c r="T61">
        <v>14736.7</v>
      </c>
      <c r="U61">
        <v>102612.03333333301</v>
      </c>
      <c r="V61">
        <v>22284.60699</v>
      </c>
    </row>
    <row r="62" spans="1:22" x14ac:dyDescent="0.25">
      <c r="A62" s="1">
        <v>44348</v>
      </c>
      <c r="B62">
        <v>7.7277766666666601</v>
      </c>
      <c r="C62">
        <v>116875.26666666599</v>
      </c>
      <c r="D62">
        <v>79255.7</v>
      </c>
      <c r="E62">
        <v>268.26915333333301</v>
      </c>
      <c r="F62">
        <v>161775.4712</v>
      </c>
      <c r="G62">
        <v>29606.34</v>
      </c>
      <c r="H62">
        <v>3931.0099999999902</v>
      </c>
      <c r="I62">
        <v>100578.83333333299</v>
      </c>
      <c r="J62">
        <v>3450.5</v>
      </c>
      <c r="K62">
        <v>1.75</v>
      </c>
      <c r="L62">
        <v>21440.929</v>
      </c>
      <c r="M62">
        <v>133933.0338</v>
      </c>
      <c r="N62">
        <v>108.087</v>
      </c>
      <c r="O62">
        <v>-10609.8</v>
      </c>
      <c r="P62">
        <v>1.92299232433333</v>
      </c>
      <c r="Q62">
        <v>25829.672200000001</v>
      </c>
      <c r="R62">
        <v>19224</v>
      </c>
      <c r="S62">
        <v>7.0000000000000007E-2</v>
      </c>
      <c r="T62">
        <v>18743.400000000001</v>
      </c>
      <c r="U62">
        <v>111188.633333333</v>
      </c>
      <c r="V62">
        <v>21898.662199999999</v>
      </c>
    </row>
    <row r="63" spans="1:22" x14ac:dyDescent="0.25">
      <c r="A63" s="1">
        <v>44440</v>
      </c>
      <c r="B63">
        <v>7.73691</v>
      </c>
      <c r="C63">
        <v>119694.933333333</v>
      </c>
      <c r="D63">
        <v>78753.42</v>
      </c>
      <c r="E63">
        <v>269.980046666666</v>
      </c>
      <c r="F63">
        <v>167039.88200000001</v>
      </c>
      <c r="G63">
        <v>31274.3999999999</v>
      </c>
      <c r="H63">
        <v>4025.99</v>
      </c>
      <c r="I63">
        <v>102631.099999999</v>
      </c>
      <c r="J63">
        <v>1789.1</v>
      </c>
      <c r="K63">
        <v>1.75</v>
      </c>
      <c r="L63">
        <v>21617.828000000001</v>
      </c>
      <c r="M63">
        <v>135354.07699999999</v>
      </c>
      <c r="N63">
        <v>109.369</v>
      </c>
      <c r="O63">
        <v>-11579.299999999899</v>
      </c>
      <c r="P63">
        <v>2.2021661113333302</v>
      </c>
      <c r="Q63">
        <v>28335.76568</v>
      </c>
      <c r="R63">
        <v>20481.599999999999</v>
      </c>
      <c r="S63">
        <v>0.09</v>
      </c>
      <c r="T63">
        <v>18244.8</v>
      </c>
      <c r="U63">
        <v>114210.4</v>
      </c>
      <c r="V63">
        <v>24309.775679999999</v>
      </c>
    </row>
    <row r="64" spans="1:22" x14ac:dyDescent="0.25">
      <c r="A64" s="1">
        <v>44531</v>
      </c>
      <c r="B64">
        <v>7.7281133333333303</v>
      </c>
      <c r="C64">
        <v>118948.566666666</v>
      </c>
      <c r="D64">
        <v>85680.93</v>
      </c>
      <c r="E64">
        <v>272.82904000000002</v>
      </c>
      <c r="F64">
        <v>177194.8</v>
      </c>
      <c r="G64">
        <v>33131.69</v>
      </c>
      <c r="H64">
        <v>5361.42</v>
      </c>
      <c r="I64">
        <v>111331</v>
      </c>
      <c r="J64">
        <v>4224.2</v>
      </c>
      <c r="K64">
        <v>1.75</v>
      </c>
      <c r="L64">
        <v>21988.737000000001</v>
      </c>
      <c r="M64">
        <v>142118.46189999999</v>
      </c>
      <c r="N64">
        <v>110.792</v>
      </c>
      <c r="O64">
        <v>-16324.766666666599</v>
      </c>
      <c r="P64">
        <v>2.387761636</v>
      </c>
      <c r="Q64">
        <v>28940.025539999999</v>
      </c>
      <c r="R64">
        <v>23670.799999999999</v>
      </c>
      <c r="S64">
        <v>0.08</v>
      </c>
      <c r="T64">
        <v>22533.5</v>
      </c>
      <c r="U64">
        <v>127655.76666666599</v>
      </c>
      <c r="V64">
        <v>23578.605539999899</v>
      </c>
    </row>
    <row r="65" spans="1:22" x14ac:dyDescent="0.25">
      <c r="A65" s="1">
        <v>44621</v>
      </c>
      <c r="B65">
        <v>7.6944266666666596</v>
      </c>
      <c r="C65">
        <v>120110.233333333</v>
      </c>
      <c r="D65">
        <v>84650.61</v>
      </c>
      <c r="E65">
        <v>277.00576999999998</v>
      </c>
      <c r="F65">
        <v>179250.9418</v>
      </c>
      <c r="G65">
        <v>30286.65</v>
      </c>
      <c r="H65">
        <v>3469.45</v>
      </c>
      <c r="I65">
        <v>110072.866666666</v>
      </c>
      <c r="J65">
        <v>-1197.19999999999</v>
      </c>
      <c r="K65">
        <v>1.75</v>
      </c>
      <c r="L65">
        <v>21932.71</v>
      </c>
      <c r="M65">
        <v>141620.1588</v>
      </c>
      <c r="N65">
        <v>112.453</v>
      </c>
      <c r="O65">
        <v>-15074.9</v>
      </c>
      <c r="P65">
        <v>2.6373423030000001</v>
      </c>
      <c r="Q65">
        <v>29450.7984</v>
      </c>
      <c r="R65">
        <v>21813.9</v>
      </c>
      <c r="S65">
        <v>0.12</v>
      </c>
      <c r="T65">
        <v>17147.099999999999</v>
      </c>
      <c r="U65">
        <v>125147.76666666599</v>
      </c>
      <c r="V65">
        <v>25981.348399999999</v>
      </c>
    </row>
    <row r="66" spans="1:22" x14ac:dyDescent="0.25">
      <c r="A66" s="1">
        <v>44713</v>
      </c>
      <c r="B66">
        <v>7.7018633333333302</v>
      </c>
      <c r="C66">
        <v>123694.866666666</v>
      </c>
      <c r="D66">
        <v>82181.069999999905</v>
      </c>
      <c r="E66">
        <v>283.29858999999902</v>
      </c>
      <c r="F66">
        <v>179675.77069999999</v>
      </c>
      <c r="G66">
        <v>36781.919999999998</v>
      </c>
      <c r="H66">
        <v>4325.78</v>
      </c>
      <c r="I66">
        <v>113914.066666666</v>
      </c>
      <c r="J66">
        <v>2630.3999999999901</v>
      </c>
      <c r="K66">
        <v>2</v>
      </c>
      <c r="L66">
        <v>21967.044999999998</v>
      </c>
      <c r="M66">
        <v>140336.37160000001</v>
      </c>
      <c r="N66">
        <v>113.795</v>
      </c>
      <c r="O66">
        <v>-15217.9</v>
      </c>
      <c r="P66">
        <v>2.8442306003333302</v>
      </c>
      <c r="Q66">
        <v>29874.132119999998</v>
      </c>
      <c r="R66">
        <v>22841</v>
      </c>
      <c r="S66">
        <v>0.77</v>
      </c>
      <c r="T66">
        <v>21145.599999999999</v>
      </c>
      <c r="U66">
        <v>129131.96666666601</v>
      </c>
      <c r="V66">
        <v>25548.35212</v>
      </c>
    </row>
    <row r="67" spans="1:22" x14ac:dyDescent="0.25">
      <c r="A67" s="1">
        <v>44805</v>
      </c>
      <c r="B67">
        <v>7.7861366666666596</v>
      </c>
      <c r="C67">
        <v>126774.96666666601</v>
      </c>
      <c r="D67">
        <v>85630.963333333304</v>
      </c>
      <c r="E67">
        <v>289.780116666666</v>
      </c>
      <c r="F67">
        <v>185671.34729999999</v>
      </c>
      <c r="G67">
        <v>35902.29</v>
      </c>
      <c r="H67">
        <v>4178.7299999999996</v>
      </c>
      <c r="I67">
        <v>115497.733333333</v>
      </c>
      <c r="J67">
        <v>2908</v>
      </c>
      <c r="K67">
        <v>2.6666666666666599</v>
      </c>
      <c r="L67">
        <v>22125.625</v>
      </c>
      <c r="M67">
        <v>140750.82430000001</v>
      </c>
      <c r="N67">
        <v>115.23099999999999</v>
      </c>
      <c r="O67">
        <v>-18709.3</v>
      </c>
      <c r="P67">
        <v>2.8933898509999998</v>
      </c>
      <c r="Q67">
        <v>32026.684990000002</v>
      </c>
      <c r="R67">
        <v>23905.1</v>
      </c>
      <c r="S67">
        <v>2.1800000000000002</v>
      </c>
      <c r="T67">
        <v>22634.5</v>
      </c>
      <c r="U67">
        <v>134207.03333333301</v>
      </c>
      <c r="V67">
        <v>27847.954989999998</v>
      </c>
    </row>
    <row r="68" spans="1:22" x14ac:dyDescent="0.25">
      <c r="A68" s="1">
        <v>44896</v>
      </c>
      <c r="B68">
        <v>7.8407099999999996</v>
      </c>
      <c r="C68">
        <v>127635.96666666601</v>
      </c>
      <c r="D68">
        <v>86784.106666666601</v>
      </c>
      <c r="E68">
        <v>295.03643666666602</v>
      </c>
      <c r="F68">
        <v>196455.16329999999</v>
      </c>
      <c r="G68">
        <v>37000.78</v>
      </c>
      <c r="H68">
        <v>6471.33</v>
      </c>
      <c r="I68">
        <v>123170.53333333301</v>
      </c>
      <c r="J68">
        <v>8220.5</v>
      </c>
      <c r="K68">
        <v>3.5</v>
      </c>
      <c r="L68">
        <v>22278.345000000001</v>
      </c>
      <c r="M68">
        <v>147027.1361</v>
      </c>
      <c r="N68">
        <v>116.565</v>
      </c>
      <c r="O68">
        <v>-15959</v>
      </c>
      <c r="P68">
        <v>2.46191096799999</v>
      </c>
      <c r="Q68">
        <v>32440.516360000001</v>
      </c>
      <c r="R68">
        <v>24604</v>
      </c>
      <c r="S68">
        <v>3.65</v>
      </c>
      <c r="T68">
        <v>26353.1</v>
      </c>
      <c r="U68">
        <v>139129.53333333301</v>
      </c>
      <c r="V68">
        <v>25969.18636</v>
      </c>
    </row>
    <row r="69" spans="1:22" x14ac:dyDescent="0.25">
      <c r="A69" s="1">
        <v>44986</v>
      </c>
      <c r="B69">
        <v>7.8222766666666601</v>
      </c>
      <c r="C69">
        <v>126619.96666666601</v>
      </c>
      <c r="D69">
        <v>86448.363333333298</v>
      </c>
      <c r="E69">
        <v>298.88645666666599</v>
      </c>
      <c r="F69">
        <v>200604.59779999999</v>
      </c>
      <c r="G69">
        <v>34674.17</v>
      </c>
      <c r="H69">
        <v>4141.24</v>
      </c>
      <c r="I69">
        <v>124961.166666666</v>
      </c>
      <c r="J69">
        <v>156.599999999999</v>
      </c>
      <c r="K69">
        <v>4.4166666666666599</v>
      </c>
      <c r="L69">
        <v>22439.607</v>
      </c>
      <c r="M69">
        <v>147376.14619999999</v>
      </c>
      <c r="N69">
        <v>117.916</v>
      </c>
      <c r="O69">
        <v>-10342.9</v>
      </c>
      <c r="P69">
        <v>2.1918138859999998</v>
      </c>
      <c r="Q69">
        <v>32511.612270000001</v>
      </c>
      <c r="R69">
        <v>24379.1</v>
      </c>
      <c r="S69">
        <v>4.51</v>
      </c>
      <c r="T69">
        <v>20394.400000000001</v>
      </c>
      <c r="U69">
        <v>135304.06666666601</v>
      </c>
      <c r="V69">
        <v>28370.37227</v>
      </c>
    </row>
    <row r="70" spans="1:22" x14ac:dyDescent="0.25">
      <c r="A70" s="1">
        <v>45078</v>
      </c>
      <c r="B70">
        <v>7.8280533333333304</v>
      </c>
      <c r="C70">
        <v>125572.866666666</v>
      </c>
      <c r="D70">
        <v>88472.6</v>
      </c>
      <c r="E70">
        <v>302.07290666666597</v>
      </c>
      <c r="F70">
        <v>200381.2867</v>
      </c>
      <c r="G70">
        <v>40904.17</v>
      </c>
      <c r="H70">
        <v>5204.7699999999904</v>
      </c>
      <c r="I70">
        <v>129107.866666666</v>
      </c>
      <c r="J70">
        <v>4433.2999999999902</v>
      </c>
      <c r="K70">
        <v>4.9166666666666599</v>
      </c>
      <c r="L70">
        <v>22580.499</v>
      </c>
      <c r="M70">
        <v>146262.7224</v>
      </c>
      <c r="N70">
        <v>119.069</v>
      </c>
      <c r="O70">
        <v>-8498.4666666666599</v>
      </c>
      <c r="P70">
        <v>2.2870674349999902</v>
      </c>
      <c r="Q70">
        <v>32581.011190000001</v>
      </c>
      <c r="R70">
        <v>24481.7</v>
      </c>
      <c r="S70">
        <v>4.99</v>
      </c>
      <c r="T70">
        <v>23710.3</v>
      </c>
      <c r="U70">
        <v>137606.33333333299</v>
      </c>
      <c r="V70">
        <v>27376.241190000001</v>
      </c>
    </row>
    <row r="71" spans="1:22" x14ac:dyDescent="0.25">
      <c r="A71" s="1">
        <v>45170</v>
      </c>
      <c r="B71">
        <v>7.8662666666666601</v>
      </c>
      <c r="C71">
        <v>125472.2</v>
      </c>
      <c r="D71">
        <v>93900.75</v>
      </c>
      <c r="E71">
        <v>305.43264333333298</v>
      </c>
      <c r="F71">
        <v>203473.8854</v>
      </c>
      <c r="G71">
        <v>40241.4</v>
      </c>
      <c r="H71">
        <v>5050.7700000000004</v>
      </c>
      <c r="I71">
        <v>128729.933333333</v>
      </c>
      <c r="J71">
        <v>2192.9</v>
      </c>
      <c r="K71">
        <v>5</v>
      </c>
      <c r="L71">
        <v>22840.989000000001</v>
      </c>
      <c r="M71">
        <v>146465.405</v>
      </c>
      <c r="N71">
        <v>119.768</v>
      </c>
      <c r="O71">
        <v>-9253.3666666666595</v>
      </c>
      <c r="P71">
        <v>2.1491660459999999</v>
      </c>
      <c r="Q71">
        <v>34446.205970000003</v>
      </c>
      <c r="R71">
        <v>25669.4</v>
      </c>
      <c r="S71">
        <v>5.26</v>
      </c>
      <c r="T71">
        <v>22811.4</v>
      </c>
      <c r="U71">
        <v>137983.29999999999</v>
      </c>
      <c r="V71">
        <v>29395.435969999999</v>
      </c>
    </row>
    <row r="72" spans="1:22" x14ac:dyDescent="0.25">
      <c r="A72" s="1">
        <v>45261</v>
      </c>
      <c r="B72">
        <v>7.8292999999999999</v>
      </c>
      <c r="C72">
        <v>125163.2</v>
      </c>
      <c r="D72">
        <v>97289.753333333298</v>
      </c>
      <c r="E72">
        <v>309.02900666666602</v>
      </c>
      <c r="F72">
        <v>212953.65150000001</v>
      </c>
      <c r="G72">
        <v>39383.979999999901</v>
      </c>
      <c r="H72">
        <v>6083.2199999999903</v>
      </c>
      <c r="I72">
        <v>136839.96666666601</v>
      </c>
      <c r="J72">
        <v>3447.8</v>
      </c>
      <c r="K72">
        <v>5</v>
      </c>
      <c r="L72">
        <v>23033.78</v>
      </c>
      <c r="M72">
        <v>149759.83420000001</v>
      </c>
      <c r="N72">
        <v>120.402</v>
      </c>
      <c r="O72">
        <v>-11589.9333333333</v>
      </c>
      <c r="P72">
        <v>2.3636990206666599</v>
      </c>
      <c r="Q72">
        <v>34034.575279999997</v>
      </c>
      <c r="R72">
        <v>27485.699999999899</v>
      </c>
      <c r="S72">
        <v>5.33</v>
      </c>
      <c r="T72">
        <v>24850.3</v>
      </c>
      <c r="U72">
        <v>148429.9</v>
      </c>
      <c r="V72">
        <v>27951.355279999902</v>
      </c>
    </row>
    <row r="73" spans="1:22" x14ac:dyDescent="0.25">
      <c r="A73" s="1">
        <v>45352</v>
      </c>
      <c r="B73">
        <v>7.8079566666666604</v>
      </c>
      <c r="C73">
        <v>125109.133333333</v>
      </c>
      <c r="D73">
        <v>96347.296666666603</v>
      </c>
      <c r="E73">
        <v>309.84477666666601</v>
      </c>
      <c r="F73">
        <v>214033.10399999999</v>
      </c>
      <c r="G73">
        <v>36558.54</v>
      </c>
      <c r="H73">
        <v>2835.73</v>
      </c>
      <c r="I73">
        <v>138975.79999999999</v>
      </c>
      <c r="J73">
        <v>-3238.7</v>
      </c>
      <c r="K73">
        <v>5</v>
      </c>
      <c r="L73">
        <v>23082.118999999999</v>
      </c>
      <c r="M73">
        <v>151618.99729999999</v>
      </c>
      <c r="N73">
        <v>121.58799999999999</v>
      </c>
      <c r="O73">
        <v>-9667.5333333333292</v>
      </c>
      <c r="P73">
        <v>2.0677474306666599</v>
      </c>
      <c r="Q73">
        <v>34062.61176</v>
      </c>
      <c r="R73">
        <v>26305.599999999999</v>
      </c>
      <c r="S73">
        <v>5.33</v>
      </c>
      <c r="T73">
        <v>20231.2</v>
      </c>
      <c r="U73">
        <v>148643.33333333299</v>
      </c>
      <c r="V73">
        <v>31226.88176</v>
      </c>
    </row>
    <row r="74" spans="1:22" x14ac:dyDescent="0.25">
      <c r="A74" s="1">
        <v>45444</v>
      </c>
      <c r="B74">
        <v>7.7693733333333297</v>
      </c>
      <c r="C74">
        <v>126401.7</v>
      </c>
      <c r="D74">
        <v>95079.786666666594</v>
      </c>
      <c r="E74">
        <v>311.517556666666</v>
      </c>
      <c r="F74">
        <v>213508.29639999999</v>
      </c>
      <c r="G74">
        <v>43420.99</v>
      </c>
      <c r="H74">
        <v>4234.41</v>
      </c>
      <c r="I74">
        <v>139066.866666666</v>
      </c>
      <c r="J74">
        <v>1445.3</v>
      </c>
      <c r="K74">
        <v>5</v>
      </c>
      <c r="L74">
        <v>23286.508000000002</v>
      </c>
      <c r="M74">
        <v>151723.47349999999</v>
      </c>
      <c r="N74">
        <v>122.455</v>
      </c>
      <c r="O74">
        <v>-11590.266666666599</v>
      </c>
      <c r="P74">
        <v>1.9861221929999999</v>
      </c>
      <c r="Q74">
        <v>34524.736649999999</v>
      </c>
      <c r="R74">
        <v>26248.5</v>
      </c>
      <c r="S74">
        <v>5.33</v>
      </c>
      <c r="T74">
        <v>23459.3</v>
      </c>
      <c r="U74">
        <v>150657.13333333301</v>
      </c>
      <c r="V74">
        <v>30290.326649999999</v>
      </c>
    </row>
    <row r="75" spans="1:22" x14ac:dyDescent="0.25">
      <c r="A75" s="1">
        <v>45536</v>
      </c>
      <c r="B75">
        <v>7.7327866666666596</v>
      </c>
      <c r="C75">
        <v>130273.96666666601</v>
      </c>
      <c r="D75">
        <v>101258.04</v>
      </c>
      <c r="E75">
        <v>313.357276666666</v>
      </c>
      <c r="F75">
        <v>219181.96220000001</v>
      </c>
      <c r="G75">
        <v>43022.5</v>
      </c>
      <c r="H75">
        <v>4468.28</v>
      </c>
      <c r="I75">
        <v>140395.20000000001</v>
      </c>
      <c r="J75">
        <v>1033.0999999999999</v>
      </c>
      <c r="K75">
        <v>4.9166666666666599</v>
      </c>
      <c r="L75">
        <v>23478.57</v>
      </c>
      <c r="M75">
        <v>151612.3855</v>
      </c>
      <c r="N75">
        <v>123.16800000000001</v>
      </c>
      <c r="O75">
        <v>-21995.466666666602</v>
      </c>
      <c r="P75">
        <v>2.1278686966666598</v>
      </c>
      <c r="Q75">
        <v>36236.227800000001</v>
      </c>
      <c r="R75">
        <v>27237.5</v>
      </c>
      <c r="S75">
        <v>5.26</v>
      </c>
      <c r="T75">
        <v>23802.3</v>
      </c>
      <c r="U75">
        <v>162390.66666666599</v>
      </c>
      <c r="V75">
        <v>31767.947800000002</v>
      </c>
    </row>
    <row r="76" spans="1:22" x14ac:dyDescent="0.25">
      <c r="A76" s="1">
        <v>45627</v>
      </c>
      <c r="B76">
        <v>7.7162333333333297</v>
      </c>
      <c r="C76">
        <v>127927.76666666599</v>
      </c>
      <c r="D76">
        <v>104477.89</v>
      </c>
      <c r="E76">
        <v>314.784326666666</v>
      </c>
      <c r="F76">
        <v>231539.9382</v>
      </c>
      <c r="G76">
        <v>43791.44</v>
      </c>
      <c r="H76">
        <v>9276.64</v>
      </c>
      <c r="I76">
        <v>148494.5</v>
      </c>
      <c r="J76">
        <v>9194.7000000000007</v>
      </c>
      <c r="K76">
        <v>4.5833333333333304</v>
      </c>
      <c r="L76">
        <v>23586.542000000001</v>
      </c>
      <c r="M76">
        <v>156450.28539999999</v>
      </c>
      <c r="N76">
        <v>123.997</v>
      </c>
      <c r="O76">
        <v>-17108.5333333333</v>
      </c>
      <c r="P76">
        <v>2.04908889866666</v>
      </c>
      <c r="Q76">
        <v>36698.274389999999</v>
      </c>
      <c r="R76">
        <v>29259.599999999999</v>
      </c>
      <c r="S76">
        <v>4.6500000000000004</v>
      </c>
      <c r="T76">
        <v>29177.7</v>
      </c>
      <c r="U76">
        <v>165603.03333333301</v>
      </c>
      <c r="V76">
        <v>27421.634389999999</v>
      </c>
    </row>
    <row r="77" spans="1:22" x14ac:dyDescent="0.25">
      <c r="A77" s="1">
        <v>45717</v>
      </c>
      <c r="B77">
        <v>7.7186966666666601</v>
      </c>
      <c r="C77">
        <v>130856.233333333</v>
      </c>
      <c r="D77">
        <v>104991.916666666</v>
      </c>
      <c r="E77">
        <v>315.31508333333301</v>
      </c>
      <c r="F77">
        <v>231004.36369999999</v>
      </c>
      <c r="G77">
        <v>43552.6</v>
      </c>
      <c r="H77">
        <v>4328.3599999999997</v>
      </c>
      <c r="I77">
        <v>147687.1</v>
      </c>
      <c r="J77">
        <v>-495.89999999999901</v>
      </c>
      <c r="K77">
        <v>4.5</v>
      </c>
      <c r="L77">
        <v>23548.21</v>
      </c>
      <c r="M77">
        <v>157608.74119999999</v>
      </c>
      <c r="N77">
        <v>125</v>
      </c>
      <c r="O77">
        <v>-16054.9333333333</v>
      </c>
      <c r="P77">
        <v>1.9822272249999999</v>
      </c>
      <c r="Q77">
        <v>38427.970679999999</v>
      </c>
      <c r="R77">
        <v>28812.5</v>
      </c>
      <c r="S77">
        <v>4.33</v>
      </c>
      <c r="T77">
        <v>23988.3</v>
      </c>
      <c r="U77">
        <v>163742.03333333301</v>
      </c>
      <c r="V77">
        <v>34099.610679999998</v>
      </c>
    </row>
    <row r="78" spans="1:22" x14ac:dyDescent="0.25">
      <c r="A78" s="1">
        <v>45809</v>
      </c>
      <c r="B78">
        <v>7.6848433333333297</v>
      </c>
      <c r="C78">
        <v>137886.20000000001</v>
      </c>
      <c r="D78">
        <v>104441.18</v>
      </c>
      <c r="E78">
        <v>316.25357666666599</v>
      </c>
      <c r="F78">
        <v>231094.42509999999</v>
      </c>
      <c r="G78">
        <v>49833.629999999903</v>
      </c>
      <c r="H78">
        <v>6506.37</v>
      </c>
      <c r="I78">
        <v>157964.76666666599</v>
      </c>
      <c r="J78">
        <v>4358.3</v>
      </c>
      <c r="K78">
        <v>4.5</v>
      </c>
      <c r="L78">
        <v>23770.975999999999</v>
      </c>
      <c r="M78">
        <v>157896.3389</v>
      </c>
      <c r="N78">
        <v>125.804</v>
      </c>
      <c r="O78">
        <v>-21962.199999999899</v>
      </c>
      <c r="P78">
        <v>1.9572828929999999</v>
      </c>
      <c r="Q78">
        <v>38794.71226</v>
      </c>
      <c r="R78">
        <v>28381.599999999999</v>
      </c>
      <c r="S78">
        <v>4.33</v>
      </c>
      <c r="T78">
        <v>26233.599999999999</v>
      </c>
      <c r="U78">
        <v>179926.96666666601</v>
      </c>
      <c r="V78">
        <v>32288.342259999899</v>
      </c>
    </row>
    <row r="79" spans="1:22" x14ac:dyDescent="0.25">
      <c r="A79" s="1">
        <v>45901</v>
      </c>
      <c r="B79">
        <v>7.6622300000000001</v>
      </c>
      <c r="C79">
        <v>137653.46666666601</v>
      </c>
      <c r="D79">
        <v>114871.056666666</v>
      </c>
      <c r="E79">
        <v>317.445173333333</v>
      </c>
      <c r="F79">
        <v>234696.03409999999</v>
      </c>
      <c r="G79">
        <v>52416.65</v>
      </c>
      <c r="H79">
        <v>7877.2999999999902</v>
      </c>
      <c r="I79">
        <v>161306.16666666599</v>
      </c>
      <c r="J79">
        <v>4979.6000000000004</v>
      </c>
      <c r="K79">
        <v>4.25</v>
      </c>
      <c r="L79">
        <v>24026.833999999999</v>
      </c>
      <c r="M79">
        <v>158057.41070000001</v>
      </c>
      <c r="N79">
        <v>126.699</v>
      </c>
      <c r="O79">
        <v>-28489.866666666599</v>
      </c>
      <c r="P79">
        <v>1.6785196503333299</v>
      </c>
      <c r="Q79">
        <v>40834.761489999997</v>
      </c>
      <c r="R79">
        <v>30354.9</v>
      </c>
      <c r="S79">
        <v>4.3</v>
      </c>
      <c r="T79">
        <v>27457.299999999901</v>
      </c>
      <c r="U79">
        <v>189796.03333333301</v>
      </c>
      <c r="V79">
        <v>32957.461490000002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79"/>
  <sheetViews>
    <sheetView workbookViewId="0">
      <selection activeCell="B2" sqref="B2"/>
    </sheetView>
  </sheetViews>
  <sheetFormatPr baseColWidth="10" defaultRowHeight="15" x14ac:dyDescent="0.25"/>
  <sheetData>
    <row r="1" spans="1:8" x14ac:dyDescent="0.25">
      <c r="A1" t="s">
        <v>0</v>
      </c>
      <c r="B1" t="s">
        <v>6</v>
      </c>
      <c r="C1" t="s">
        <v>5</v>
      </c>
      <c r="D1" t="str">
        <f>CONCATENATE(B1,"SM")</f>
        <v>RemSM</v>
      </c>
      <c r="E1" t="s">
        <v>22</v>
      </c>
      <c r="F1" t="s">
        <v>23</v>
      </c>
      <c r="G1" t="s">
        <v>24</v>
      </c>
      <c r="H1" t="s">
        <v>25</v>
      </c>
    </row>
    <row r="2" spans="1:8" x14ac:dyDescent="0.25">
      <c r="A2" s="1">
        <v>38869</v>
      </c>
      <c r="B2">
        <v>7261.45</v>
      </c>
      <c r="C2">
        <v>56810.3</v>
      </c>
    </row>
    <row r="3" spans="1:8" x14ac:dyDescent="0.25">
      <c r="A3" s="1">
        <v>38961</v>
      </c>
      <c r="B3">
        <v>7056.78</v>
      </c>
      <c r="C3">
        <v>58936.3</v>
      </c>
    </row>
    <row r="4" spans="1:8" x14ac:dyDescent="0.25">
      <c r="A4" s="1">
        <v>39052</v>
      </c>
      <c r="B4">
        <v>7094.41</v>
      </c>
      <c r="C4">
        <v>62174.3</v>
      </c>
    </row>
    <row r="5" spans="1:8" x14ac:dyDescent="0.25">
      <c r="A5" s="1">
        <v>39142</v>
      </c>
      <c r="B5">
        <v>6834.25</v>
      </c>
      <c r="C5">
        <v>67591.7</v>
      </c>
      <c r="D5">
        <f>SUM(B2:B5)</f>
        <v>28246.89</v>
      </c>
      <c r="E5">
        <f>SUM(C2:C5)</f>
        <v>245512.60000000003</v>
      </c>
      <c r="F5">
        <f>(D5/E5)*100</f>
        <v>11.505271012567174</v>
      </c>
    </row>
    <row r="6" spans="1:8" x14ac:dyDescent="0.25">
      <c r="A6" s="1">
        <v>39234</v>
      </c>
      <c r="B6">
        <v>8321.14</v>
      </c>
      <c r="C6">
        <v>64074.5</v>
      </c>
      <c r="D6">
        <f t="shared" ref="D6:D69" si="0">SUM(B3:B6)</f>
        <v>29306.579999999998</v>
      </c>
      <c r="E6">
        <f t="shared" ref="E6:E69" si="1">SUM(C3:C6)</f>
        <v>252776.8</v>
      </c>
      <c r="F6">
        <f t="shared" ref="F6:F69" si="2">(D6/E6)*100</f>
        <v>11.5938567146985</v>
      </c>
    </row>
    <row r="7" spans="1:8" x14ac:dyDescent="0.25">
      <c r="A7" s="1">
        <v>39326</v>
      </c>
      <c r="B7">
        <v>8392.25</v>
      </c>
      <c r="C7">
        <v>66701.7</v>
      </c>
      <c r="D7">
        <f t="shared" si="0"/>
        <v>30642.05</v>
      </c>
      <c r="E7">
        <f t="shared" si="1"/>
        <v>260542.2</v>
      </c>
      <c r="F7">
        <f t="shared" si="2"/>
        <v>11.760877892333756</v>
      </c>
    </row>
    <row r="8" spans="1:8" x14ac:dyDescent="0.25">
      <c r="A8" s="1">
        <v>39417</v>
      </c>
      <c r="B8">
        <v>8204.1299999999992</v>
      </c>
      <c r="C8">
        <v>70455.899999999994</v>
      </c>
      <c r="D8">
        <f t="shared" si="0"/>
        <v>31751.769999999997</v>
      </c>
      <c r="E8">
        <f t="shared" si="1"/>
        <v>268823.80000000005</v>
      </c>
      <c r="F8">
        <f t="shared" si="2"/>
        <v>11.811368636259138</v>
      </c>
    </row>
    <row r="9" spans="1:8" x14ac:dyDescent="0.25">
      <c r="A9" s="1">
        <v>39508</v>
      </c>
      <c r="B9">
        <v>7494.7199999999903</v>
      </c>
      <c r="C9">
        <v>75225.8</v>
      </c>
      <c r="D9">
        <f t="shared" si="0"/>
        <v>32412.239999999987</v>
      </c>
      <c r="E9">
        <f t="shared" si="1"/>
        <v>276457.89999999997</v>
      </c>
      <c r="F9">
        <f t="shared" si="2"/>
        <v>11.72411423222125</v>
      </c>
      <c r="G9">
        <f>AVERAGE(F5:F8)</f>
        <v>11.667843563964643</v>
      </c>
      <c r="H9">
        <f>F9-G9</f>
        <v>5.6270668256606982E-2</v>
      </c>
    </row>
    <row r="10" spans="1:8" x14ac:dyDescent="0.25">
      <c r="A10" s="1">
        <v>39600</v>
      </c>
      <c r="B10">
        <v>8743.33</v>
      </c>
      <c r="C10">
        <v>74565.100000000006</v>
      </c>
      <c r="D10">
        <f t="shared" si="0"/>
        <v>32834.429999999986</v>
      </c>
      <c r="E10">
        <f t="shared" si="1"/>
        <v>286948.5</v>
      </c>
      <c r="F10">
        <f t="shared" si="2"/>
        <v>11.442621236911846</v>
      </c>
      <c r="G10">
        <f t="shared" ref="G10:G73" si="3">AVERAGE(F6:F9)</f>
        <v>11.722554368878161</v>
      </c>
      <c r="H10">
        <f t="shared" ref="H10:H73" si="4">F10-G10</f>
        <v>-0.27993313196631497</v>
      </c>
    </row>
    <row r="11" spans="1:8" x14ac:dyDescent="0.25">
      <c r="A11" s="1">
        <v>39692</v>
      </c>
      <c r="B11">
        <v>8601.3699999999899</v>
      </c>
      <c r="C11">
        <v>75672.5</v>
      </c>
      <c r="D11">
        <f t="shared" si="0"/>
        <v>33043.549999999981</v>
      </c>
      <c r="E11">
        <f t="shared" si="1"/>
        <v>295919.30000000005</v>
      </c>
      <c r="F11">
        <f t="shared" si="2"/>
        <v>11.166405841051926</v>
      </c>
      <c r="G11">
        <f t="shared" si="3"/>
        <v>11.684745499431497</v>
      </c>
      <c r="H11">
        <f t="shared" si="4"/>
        <v>-0.51833965837957052</v>
      </c>
    </row>
    <row r="12" spans="1:8" x14ac:dyDescent="0.25">
      <c r="A12" s="1">
        <v>39783</v>
      </c>
      <c r="B12">
        <v>7819.92</v>
      </c>
      <c r="C12">
        <v>78865.899999999994</v>
      </c>
      <c r="D12">
        <f t="shared" si="0"/>
        <v>32659.339999999982</v>
      </c>
      <c r="E12">
        <f t="shared" si="1"/>
        <v>304329.30000000005</v>
      </c>
      <c r="F12">
        <f t="shared" si="2"/>
        <v>10.731579246559559</v>
      </c>
      <c r="G12">
        <f t="shared" si="3"/>
        <v>11.53612748661104</v>
      </c>
      <c r="H12">
        <f t="shared" si="4"/>
        <v>-0.8045482400514814</v>
      </c>
    </row>
    <row r="13" spans="1:8" x14ac:dyDescent="0.25">
      <c r="A13" s="1">
        <v>39873</v>
      </c>
      <c r="B13">
        <v>7369.18</v>
      </c>
      <c r="C13">
        <v>78253.3</v>
      </c>
      <c r="D13">
        <f t="shared" si="0"/>
        <v>32533.799999999988</v>
      </c>
      <c r="E13">
        <f t="shared" si="1"/>
        <v>307356.79999999999</v>
      </c>
      <c r="F13">
        <f t="shared" si="2"/>
        <v>10.58502691334631</v>
      </c>
      <c r="G13">
        <f t="shared" si="3"/>
        <v>11.266180139186144</v>
      </c>
      <c r="H13">
        <f t="shared" si="4"/>
        <v>-0.68115322583983406</v>
      </c>
    </row>
    <row r="14" spans="1:8" x14ac:dyDescent="0.25">
      <c r="A14" s="1">
        <v>39965</v>
      </c>
      <c r="B14">
        <v>8294.75</v>
      </c>
      <c r="C14">
        <v>74997.8</v>
      </c>
      <c r="D14">
        <f t="shared" si="0"/>
        <v>32085.21999999999</v>
      </c>
      <c r="E14">
        <f t="shared" si="1"/>
        <v>307789.5</v>
      </c>
      <c r="F14">
        <f t="shared" si="2"/>
        <v>10.424403691483949</v>
      </c>
      <c r="G14">
        <f t="shared" si="3"/>
        <v>10.981408309467412</v>
      </c>
      <c r="H14">
        <f t="shared" si="4"/>
        <v>-0.55700461798346268</v>
      </c>
    </row>
    <row r="15" spans="1:8" x14ac:dyDescent="0.25">
      <c r="A15" s="1">
        <v>40057</v>
      </c>
      <c r="B15">
        <v>8576.57</v>
      </c>
      <c r="C15">
        <v>76667.600000000006</v>
      </c>
      <c r="D15">
        <f t="shared" si="0"/>
        <v>32060.42</v>
      </c>
      <c r="E15">
        <f t="shared" si="1"/>
        <v>308784.59999999998</v>
      </c>
      <c r="F15">
        <f t="shared" si="2"/>
        <v>10.382778156682685</v>
      </c>
      <c r="G15">
        <f t="shared" si="3"/>
        <v>10.726853923110436</v>
      </c>
      <c r="H15">
        <f t="shared" si="4"/>
        <v>-0.34407576642775162</v>
      </c>
    </row>
    <row r="16" spans="1:8" x14ac:dyDescent="0.25">
      <c r="A16" s="1">
        <v>40148</v>
      </c>
      <c r="B16">
        <v>7829.03</v>
      </c>
      <c r="C16">
        <v>80066.899999999994</v>
      </c>
      <c r="D16">
        <f t="shared" si="0"/>
        <v>32069.53</v>
      </c>
      <c r="E16">
        <f t="shared" si="1"/>
        <v>309985.59999999998</v>
      </c>
      <c r="F16">
        <f t="shared" si="2"/>
        <v>10.345490242127378</v>
      </c>
      <c r="G16">
        <f t="shared" si="3"/>
        <v>10.530947002018126</v>
      </c>
      <c r="H16">
        <f t="shared" si="4"/>
        <v>-0.18545675989074795</v>
      </c>
    </row>
    <row r="17" spans="1:8" x14ac:dyDescent="0.25">
      <c r="A17" s="1">
        <v>40238</v>
      </c>
      <c r="B17">
        <v>7246.67</v>
      </c>
      <c r="C17">
        <v>83764.100000000006</v>
      </c>
      <c r="D17">
        <f t="shared" si="0"/>
        <v>31947.019999999997</v>
      </c>
      <c r="E17">
        <f t="shared" si="1"/>
        <v>315496.40000000002</v>
      </c>
      <c r="F17">
        <f t="shared" si="2"/>
        <v>10.125953893610195</v>
      </c>
      <c r="G17">
        <f t="shared" si="3"/>
        <v>10.434424750910079</v>
      </c>
      <c r="H17">
        <f t="shared" si="4"/>
        <v>-0.30847085729988422</v>
      </c>
    </row>
    <row r="18" spans="1:8" x14ac:dyDescent="0.25">
      <c r="A18" s="1">
        <v>40330</v>
      </c>
      <c r="B18">
        <v>8786.42</v>
      </c>
      <c r="C18">
        <v>80946.3</v>
      </c>
      <c r="D18">
        <f t="shared" si="0"/>
        <v>32438.689999999995</v>
      </c>
      <c r="E18">
        <f t="shared" si="1"/>
        <v>321444.90000000002</v>
      </c>
      <c r="F18">
        <f t="shared" si="2"/>
        <v>10.091524239457522</v>
      </c>
      <c r="G18">
        <f t="shared" si="3"/>
        <v>10.319656495976052</v>
      </c>
      <c r="H18">
        <f t="shared" si="4"/>
        <v>-0.22813225651852953</v>
      </c>
    </row>
    <row r="19" spans="1:8" x14ac:dyDescent="0.25">
      <c r="A19" s="1">
        <v>40422</v>
      </c>
      <c r="B19">
        <v>9050.77</v>
      </c>
      <c r="C19">
        <v>82168.100000000006</v>
      </c>
      <c r="D19">
        <f t="shared" si="0"/>
        <v>32912.89</v>
      </c>
      <c r="E19">
        <f t="shared" si="1"/>
        <v>326945.40000000002</v>
      </c>
      <c r="F19">
        <f t="shared" si="2"/>
        <v>10.0667848515379</v>
      </c>
      <c r="G19">
        <f t="shared" si="3"/>
        <v>10.236436632969445</v>
      </c>
      <c r="H19">
        <f t="shared" si="4"/>
        <v>-0.16965178143154525</v>
      </c>
    </row>
    <row r="20" spans="1:8" x14ac:dyDescent="0.25">
      <c r="A20" s="1">
        <v>40513</v>
      </c>
      <c r="B20">
        <v>8168.25</v>
      </c>
      <c r="C20">
        <v>87555.7</v>
      </c>
      <c r="D20">
        <f t="shared" si="0"/>
        <v>33252.11</v>
      </c>
      <c r="E20">
        <f t="shared" si="1"/>
        <v>334434.2</v>
      </c>
      <c r="F20">
        <f t="shared" si="2"/>
        <v>9.9427959221873827</v>
      </c>
      <c r="G20">
        <f t="shared" si="3"/>
        <v>10.157438306683247</v>
      </c>
      <c r="H20">
        <f t="shared" si="4"/>
        <v>-0.21464238449586404</v>
      </c>
    </row>
    <row r="21" spans="1:8" x14ac:dyDescent="0.25">
      <c r="A21" s="1">
        <v>40603</v>
      </c>
      <c r="B21">
        <v>7561.06</v>
      </c>
      <c r="C21">
        <v>91460.7</v>
      </c>
      <c r="D21">
        <f t="shared" si="0"/>
        <v>33566.5</v>
      </c>
      <c r="E21">
        <f t="shared" si="1"/>
        <v>342130.80000000005</v>
      </c>
      <c r="F21">
        <f t="shared" si="2"/>
        <v>9.8110137994006958</v>
      </c>
      <c r="G21">
        <f t="shared" si="3"/>
        <v>10.056764726698249</v>
      </c>
      <c r="H21">
        <f t="shared" si="4"/>
        <v>-0.24575092729755355</v>
      </c>
    </row>
    <row r="22" spans="1:8" x14ac:dyDescent="0.25">
      <c r="A22" s="1">
        <v>40695</v>
      </c>
      <c r="B22">
        <v>9285.76</v>
      </c>
      <c r="C22">
        <v>89623.1</v>
      </c>
      <c r="D22">
        <f t="shared" si="0"/>
        <v>34065.840000000004</v>
      </c>
      <c r="E22">
        <f t="shared" si="1"/>
        <v>350807.6</v>
      </c>
      <c r="F22">
        <f t="shared" si="2"/>
        <v>9.7106904183375757</v>
      </c>
      <c r="G22">
        <f t="shared" si="3"/>
        <v>9.9780297031458751</v>
      </c>
      <c r="H22">
        <f t="shared" si="4"/>
        <v>-0.26733928480829938</v>
      </c>
    </row>
    <row r="23" spans="1:8" x14ac:dyDescent="0.25">
      <c r="A23" s="1">
        <v>40787</v>
      </c>
      <c r="B23">
        <v>8796.7199999999993</v>
      </c>
      <c r="C23">
        <v>92060.3</v>
      </c>
      <c r="D23">
        <f t="shared" si="0"/>
        <v>33811.79</v>
      </c>
      <c r="E23">
        <f t="shared" si="1"/>
        <v>360699.8</v>
      </c>
      <c r="F23">
        <f t="shared" si="2"/>
        <v>9.3739419872148542</v>
      </c>
      <c r="G23">
        <f t="shared" si="3"/>
        <v>9.8828212478658894</v>
      </c>
      <c r="H23">
        <f t="shared" si="4"/>
        <v>-0.50887926065103528</v>
      </c>
    </row>
    <row r="24" spans="1:8" x14ac:dyDescent="0.25">
      <c r="A24" s="1">
        <v>40878</v>
      </c>
      <c r="B24">
        <v>8454.2199999999993</v>
      </c>
      <c r="C24">
        <v>96206</v>
      </c>
      <c r="D24">
        <f t="shared" si="0"/>
        <v>34097.760000000002</v>
      </c>
      <c r="E24">
        <f t="shared" si="1"/>
        <v>369350.1</v>
      </c>
      <c r="F24">
        <f t="shared" si="2"/>
        <v>9.2318263891088712</v>
      </c>
      <c r="G24">
        <f t="shared" si="3"/>
        <v>9.7096105317851276</v>
      </c>
      <c r="H24">
        <f t="shared" si="4"/>
        <v>-0.47778414267625635</v>
      </c>
    </row>
    <row r="25" spans="1:8" x14ac:dyDescent="0.25">
      <c r="A25" s="1">
        <v>40969</v>
      </c>
      <c r="B25">
        <v>8197.66</v>
      </c>
      <c r="C25">
        <v>98146.8</v>
      </c>
      <c r="D25">
        <f t="shared" si="0"/>
        <v>34734.36</v>
      </c>
      <c r="E25">
        <f t="shared" si="1"/>
        <v>376036.2</v>
      </c>
      <c r="F25">
        <f t="shared" si="2"/>
        <v>9.2369723978702059</v>
      </c>
      <c r="G25">
        <f t="shared" si="3"/>
        <v>9.5318681485154997</v>
      </c>
      <c r="H25">
        <f t="shared" si="4"/>
        <v>-0.29489575064529383</v>
      </c>
    </row>
    <row r="26" spans="1:8" x14ac:dyDescent="0.25">
      <c r="A26" s="1">
        <v>41061</v>
      </c>
      <c r="B26">
        <v>10185.19</v>
      </c>
      <c r="C26">
        <v>95001.2</v>
      </c>
      <c r="D26">
        <f t="shared" si="0"/>
        <v>35633.79</v>
      </c>
      <c r="E26">
        <f t="shared" si="1"/>
        <v>381414.3</v>
      </c>
      <c r="F26">
        <f t="shared" si="2"/>
        <v>9.3425416928521035</v>
      </c>
      <c r="G26">
        <f t="shared" si="3"/>
        <v>9.3883577981328763</v>
      </c>
      <c r="H26">
        <f t="shared" si="4"/>
        <v>-4.5816105280772845E-2</v>
      </c>
    </row>
    <row r="27" spans="1:8" x14ac:dyDescent="0.25">
      <c r="A27" s="1">
        <v>41153</v>
      </c>
      <c r="B27">
        <v>9724.49</v>
      </c>
      <c r="C27">
        <v>95942.2</v>
      </c>
      <c r="D27">
        <f t="shared" si="0"/>
        <v>36561.56</v>
      </c>
      <c r="E27">
        <f t="shared" si="1"/>
        <v>385296.2</v>
      </c>
      <c r="F27">
        <f t="shared" si="2"/>
        <v>9.489208562139984</v>
      </c>
      <c r="G27">
        <f t="shared" si="3"/>
        <v>9.2963206167615073</v>
      </c>
      <c r="H27">
        <f t="shared" si="4"/>
        <v>0.19288794537847664</v>
      </c>
    </row>
    <row r="28" spans="1:8" x14ac:dyDescent="0.25">
      <c r="A28" s="1">
        <v>41244</v>
      </c>
      <c r="B28">
        <v>9392.7799999999897</v>
      </c>
      <c r="C28">
        <v>101835.8</v>
      </c>
      <c r="D28">
        <f t="shared" si="0"/>
        <v>37500.119999999988</v>
      </c>
      <c r="E28">
        <f t="shared" si="1"/>
        <v>390926</v>
      </c>
      <c r="F28">
        <f t="shared" si="2"/>
        <v>9.592639016079767</v>
      </c>
      <c r="G28">
        <f t="shared" si="3"/>
        <v>9.3251372604927916</v>
      </c>
      <c r="H28">
        <f t="shared" si="4"/>
        <v>0.26750175558697542</v>
      </c>
    </row>
    <row r="29" spans="1:8" x14ac:dyDescent="0.25">
      <c r="A29" s="1">
        <v>41334</v>
      </c>
      <c r="B29">
        <v>8850.66</v>
      </c>
      <c r="C29">
        <v>103834.56359999999</v>
      </c>
      <c r="D29">
        <f t="shared" si="0"/>
        <v>38153.119999999995</v>
      </c>
      <c r="E29">
        <f t="shared" si="1"/>
        <v>396613.76360000001</v>
      </c>
      <c r="F29">
        <f t="shared" si="2"/>
        <v>9.619716586154297</v>
      </c>
      <c r="G29">
        <f t="shared" si="3"/>
        <v>9.4153404172355142</v>
      </c>
      <c r="H29">
        <f t="shared" si="4"/>
        <v>0.20437616891878285</v>
      </c>
    </row>
    <row r="30" spans="1:8" x14ac:dyDescent="0.25">
      <c r="A30" s="1">
        <v>41426</v>
      </c>
      <c r="B30">
        <v>10498.4399999999</v>
      </c>
      <c r="C30">
        <v>102176.59020000001</v>
      </c>
      <c r="D30">
        <f t="shared" si="0"/>
        <v>38466.369999999893</v>
      </c>
      <c r="E30">
        <f t="shared" si="1"/>
        <v>403789.15379999997</v>
      </c>
      <c r="F30">
        <f t="shared" si="2"/>
        <v>9.526350482175804</v>
      </c>
      <c r="G30">
        <f t="shared" si="3"/>
        <v>9.5110264643065374</v>
      </c>
      <c r="H30">
        <f t="shared" si="4"/>
        <v>1.5324017869266626E-2</v>
      </c>
    </row>
    <row r="31" spans="1:8" x14ac:dyDescent="0.25">
      <c r="A31" s="1">
        <v>41518</v>
      </c>
      <c r="B31">
        <v>10467.969999999999</v>
      </c>
      <c r="C31">
        <v>102217.26420000001</v>
      </c>
      <c r="D31">
        <f t="shared" si="0"/>
        <v>39209.849999999889</v>
      </c>
      <c r="E31">
        <f t="shared" si="1"/>
        <v>410064.21799999999</v>
      </c>
      <c r="F31">
        <f t="shared" si="2"/>
        <v>9.5618803784532815</v>
      </c>
      <c r="G31">
        <f t="shared" si="3"/>
        <v>9.5569786616374621</v>
      </c>
      <c r="H31">
        <f t="shared" si="4"/>
        <v>4.9017168158194124E-3</v>
      </c>
    </row>
    <row r="32" spans="1:8" x14ac:dyDescent="0.25">
      <c r="A32" s="1">
        <v>41609</v>
      </c>
      <c r="B32">
        <v>10285.57</v>
      </c>
      <c r="C32">
        <v>108154.8023</v>
      </c>
      <c r="D32">
        <f t="shared" si="0"/>
        <v>40102.639999999898</v>
      </c>
      <c r="E32">
        <f t="shared" si="1"/>
        <v>416383.22029999999</v>
      </c>
      <c r="F32">
        <f t="shared" si="2"/>
        <v>9.6311854188327626</v>
      </c>
      <c r="G32">
        <f t="shared" si="3"/>
        <v>9.5751466157157878</v>
      </c>
      <c r="H32">
        <f t="shared" si="4"/>
        <v>5.6038803116974734E-2</v>
      </c>
    </row>
    <row r="33" spans="1:8" x14ac:dyDescent="0.25">
      <c r="A33" s="1">
        <v>41699</v>
      </c>
      <c r="B33">
        <v>9601.18</v>
      </c>
      <c r="C33">
        <v>109523.7172</v>
      </c>
      <c r="D33">
        <f t="shared" si="0"/>
        <v>40853.159999999902</v>
      </c>
      <c r="E33">
        <f t="shared" si="1"/>
        <v>422072.37390000001</v>
      </c>
      <c r="F33">
        <f t="shared" si="2"/>
        <v>9.6791836012652865</v>
      </c>
      <c r="G33">
        <f t="shared" si="3"/>
        <v>9.5847832164040359</v>
      </c>
      <c r="H33">
        <f t="shared" si="4"/>
        <v>9.4400384861250686E-2</v>
      </c>
    </row>
    <row r="34" spans="1:8" x14ac:dyDescent="0.25">
      <c r="A34" s="1">
        <v>41791</v>
      </c>
      <c r="B34">
        <v>11385.05</v>
      </c>
      <c r="C34">
        <v>109403.59239999999</v>
      </c>
      <c r="D34">
        <f t="shared" si="0"/>
        <v>41739.770000000004</v>
      </c>
      <c r="E34">
        <f t="shared" si="1"/>
        <v>429299.37609999999</v>
      </c>
      <c r="F34">
        <f t="shared" si="2"/>
        <v>9.7227651200399698</v>
      </c>
      <c r="G34">
        <f t="shared" si="3"/>
        <v>9.5996499701817832</v>
      </c>
      <c r="H34">
        <f t="shared" si="4"/>
        <v>0.12311514985818661</v>
      </c>
    </row>
    <row r="35" spans="1:8" x14ac:dyDescent="0.25">
      <c r="A35" s="1">
        <v>41883</v>
      </c>
      <c r="B35">
        <v>11206.78</v>
      </c>
      <c r="C35">
        <v>111334.2455</v>
      </c>
      <c r="D35">
        <f t="shared" si="0"/>
        <v>42478.58</v>
      </c>
      <c r="E35">
        <f t="shared" si="1"/>
        <v>438416.35740000004</v>
      </c>
      <c r="F35">
        <f t="shared" si="2"/>
        <v>9.6890956012491145</v>
      </c>
      <c r="G35">
        <f t="shared" si="3"/>
        <v>9.6487536296478247</v>
      </c>
      <c r="H35">
        <f t="shared" si="4"/>
        <v>4.0341971601289828E-2</v>
      </c>
    </row>
    <row r="36" spans="1:8" x14ac:dyDescent="0.25">
      <c r="A36" s="1">
        <v>41974</v>
      </c>
      <c r="B36">
        <v>10622.4</v>
      </c>
      <c r="C36">
        <v>117064.7711</v>
      </c>
      <c r="D36">
        <f t="shared" si="0"/>
        <v>42815.41</v>
      </c>
      <c r="E36">
        <f t="shared" si="1"/>
        <v>447326.32620000001</v>
      </c>
      <c r="F36">
        <f t="shared" si="2"/>
        <v>9.5714040270585805</v>
      </c>
      <c r="G36">
        <f t="shared" si="3"/>
        <v>9.6805574353467847</v>
      </c>
      <c r="H36">
        <f t="shared" si="4"/>
        <v>-0.10915340828820419</v>
      </c>
    </row>
    <row r="37" spans="1:8" x14ac:dyDescent="0.25">
      <c r="A37" s="1">
        <v>42064</v>
      </c>
      <c r="B37">
        <v>10668.07</v>
      </c>
      <c r="C37">
        <v>117897.27529999999</v>
      </c>
      <c r="D37">
        <f t="shared" si="0"/>
        <v>43882.3</v>
      </c>
      <c r="E37">
        <f t="shared" si="1"/>
        <v>455699.88429999998</v>
      </c>
      <c r="F37">
        <f t="shared" si="2"/>
        <v>9.6296491423094288</v>
      </c>
      <c r="G37">
        <f t="shared" si="3"/>
        <v>9.6656120874032379</v>
      </c>
      <c r="H37">
        <f t="shared" si="4"/>
        <v>-3.596294509380904E-2</v>
      </c>
    </row>
    <row r="38" spans="1:8" x14ac:dyDescent="0.25">
      <c r="A38" s="1">
        <v>42156</v>
      </c>
      <c r="B38">
        <v>11976.279999999901</v>
      </c>
      <c r="C38">
        <v>116183.442</v>
      </c>
      <c r="D38">
        <f t="shared" si="0"/>
        <v>44473.529999999897</v>
      </c>
      <c r="E38">
        <f t="shared" si="1"/>
        <v>462479.73389999999</v>
      </c>
      <c r="F38">
        <f t="shared" si="2"/>
        <v>9.6163197519950607</v>
      </c>
      <c r="G38">
        <f t="shared" si="3"/>
        <v>9.6532284726642743</v>
      </c>
      <c r="H38">
        <f t="shared" si="4"/>
        <v>-3.6908720669213579E-2</v>
      </c>
    </row>
    <row r="39" spans="1:8" x14ac:dyDescent="0.25">
      <c r="A39" s="1">
        <v>42248</v>
      </c>
      <c r="B39">
        <v>12570.17</v>
      </c>
      <c r="C39">
        <v>118716.5307</v>
      </c>
      <c r="D39">
        <f t="shared" si="0"/>
        <v>45836.919999999896</v>
      </c>
      <c r="E39">
        <f t="shared" si="1"/>
        <v>469862.01909999998</v>
      </c>
      <c r="F39">
        <f t="shared" si="2"/>
        <v>9.7554001252960383</v>
      </c>
      <c r="G39">
        <f t="shared" si="3"/>
        <v>9.6266171306530453</v>
      </c>
      <c r="H39">
        <f t="shared" si="4"/>
        <v>0.12878299464299303</v>
      </c>
    </row>
    <row r="40" spans="1:8" x14ac:dyDescent="0.25">
      <c r="A40" s="1">
        <v>42339</v>
      </c>
      <c r="B40">
        <v>12910.5799999999</v>
      </c>
      <c r="C40">
        <v>123225.5732</v>
      </c>
      <c r="D40">
        <f t="shared" si="0"/>
        <v>48125.099999999802</v>
      </c>
      <c r="E40">
        <f t="shared" si="1"/>
        <v>476022.82120000001</v>
      </c>
      <c r="F40">
        <f t="shared" si="2"/>
        <v>10.109830423398995</v>
      </c>
      <c r="G40">
        <f t="shared" si="3"/>
        <v>9.6431932616647771</v>
      </c>
      <c r="H40">
        <f t="shared" si="4"/>
        <v>0.46663716173421754</v>
      </c>
    </row>
    <row r="41" spans="1:8" x14ac:dyDescent="0.25">
      <c r="A41" s="1">
        <v>42430</v>
      </c>
      <c r="B41">
        <v>12791.21</v>
      </c>
      <c r="C41">
        <v>123838.5435</v>
      </c>
      <c r="D41">
        <f t="shared" si="0"/>
        <v>50248.239999999802</v>
      </c>
      <c r="E41">
        <f t="shared" si="1"/>
        <v>481964.08939999994</v>
      </c>
      <c r="F41">
        <f t="shared" si="2"/>
        <v>10.425722809048729</v>
      </c>
      <c r="G41">
        <f t="shared" si="3"/>
        <v>9.7777998607498802</v>
      </c>
      <c r="H41">
        <f t="shared" si="4"/>
        <v>0.64792294829884867</v>
      </c>
    </row>
    <row r="42" spans="1:8" x14ac:dyDescent="0.25">
      <c r="A42" s="1">
        <v>42522</v>
      </c>
      <c r="B42">
        <v>14175.13</v>
      </c>
      <c r="C42">
        <v>122799.36689999999</v>
      </c>
      <c r="D42">
        <f t="shared" si="0"/>
        <v>52447.089999999895</v>
      </c>
      <c r="E42">
        <f t="shared" si="1"/>
        <v>488580.01430000004</v>
      </c>
      <c r="F42">
        <f t="shared" si="2"/>
        <v>10.734595862489805</v>
      </c>
      <c r="G42">
        <f t="shared" si="3"/>
        <v>9.9768182774347061</v>
      </c>
      <c r="H42">
        <f t="shared" si="4"/>
        <v>0.75777758505509851</v>
      </c>
    </row>
    <row r="43" spans="1:8" x14ac:dyDescent="0.25">
      <c r="A43" s="1">
        <v>42614</v>
      </c>
      <c r="B43">
        <v>13300.82</v>
      </c>
      <c r="C43">
        <v>124518.04949999999</v>
      </c>
      <c r="D43">
        <f t="shared" si="0"/>
        <v>53177.739999999896</v>
      </c>
      <c r="E43">
        <f t="shared" si="1"/>
        <v>494381.5331</v>
      </c>
      <c r="F43">
        <f t="shared" si="2"/>
        <v>10.756417147410618</v>
      </c>
      <c r="G43">
        <f t="shared" si="3"/>
        <v>10.256387305058391</v>
      </c>
      <c r="H43">
        <f t="shared" si="4"/>
        <v>0.50002984235222669</v>
      </c>
    </row>
    <row r="44" spans="1:8" x14ac:dyDescent="0.25">
      <c r="A44" s="1">
        <v>42705</v>
      </c>
      <c r="B44">
        <v>14166.89</v>
      </c>
      <c r="C44">
        <v>130845.7444</v>
      </c>
      <c r="D44">
        <f t="shared" si="0"/>
        <v>54434.049999999996</v>
      </c>
      <c r="E44">
        <f t="shared" si="1"/>
        <v>502001.70429999998</v>
      </c>
      <c r="F44">
        <f t="shared" si="2"/>
        <v>10.843399441422971</v>
      </c>
      <c r="G44">
        <f t="shared" si="3"/>
        <v>10.506641560587036</v>
      </c>
      <c r="H44">
        <f t="shared" si="4"/>
        <v>0.33675788083593439</v>
      </c>
    </row>
    <row r="45" spans="1:8" x14ac:dyDescent="0.25">
      <c r="A45" s="1">
        <v>42795</v>
      </c>
      <c r="B45">
        <v>14345.87</v>
      </c>
      <c r="C45">
        <v>131682.7084</v>
      </c>
      <c r="D45">
        <f t="shared" si="0"/>
        <v>55988.71</v>
      </c>
      <c r="E45">
        <f t="shared" si="1"/>
        <v>509845.86919999996</v>
      </c>
      <c r="F45">
        <f t="shared" si="2"/>
        <v>10.981497229319908</v>
      </c>
      <c r="G45">
        <f t="shared" si="3"/>
        <v>10.690033815093031</v>
      </c>
      <c r="H45">
        <f t="shared" si="4"/>
        <v>0.29146341422687705</v>
      </c>
    </row>
    <row r="46" spans="1:8" x14ac:dyDescent="0.25">
      <c r="A46" s="1">
        <v>42887</v>
      </c>
      <c r="B46">
        <v>15500.04</v>
      </c>
      <c r="C46">
        <v>127650.414</v>
      </c>
      <c r="D46">
        <f t="shared" si="0"/>
        <v>57313.62</v>
      </c>
      <c r="E46">
        <f t="shared" si="1"/>
        <v>514696.91629999998</v>
      </c>
      <c r="F46">
        <f t="shared" si="2"/>
        <v>11.135411576197161</v>
      </c>
      <c r="G46">
        <f t="shared" si="3"/>
        <v>10.828977420160824</v>
      </c>
      <c r="H46">
        <f t="shared" si="4"/>
        <v>0.30643415603633706</v>
      </c>
    </row>
    <row r="47" spans="1:8" x14ac:dyDescent="0.25">
      <c r="A47" s="1">
        <v>42979</v>
      </c>
      <c r="B47">
        <v>14939.87</v>
      </c>
      <c r="C47">
        <v>130291.6691</v>
      </c>
      <c r="D47">
        <f t="shared" si="0"/>
        <v>58952.670000000006</v>
      </c>
      <c r="E47">
        <f t="shared" si="1"/>
        <v>520470.53589999996</v>
      </c>
      <c r="F47">
        <f t="shared" si="2"/>
        <v>11.326802563003646</v>
      </c>
      <c r="G47">
        <f t="shared" si="3"/>
        <v>10.929181348587665</v>
      </c>
      <c r="H47">
        <f t="shared" si="4"/>
        <v>0.39762121441598097</v>
      </c>
    </row>
    <row r="48" spans="1:8" x14ac:dyDescent="0.25">
      <c r="A48" s="1">
        <v>43070</v>
      </c>
      <c r="B48">
        <v>15382.7</v>
      </c>
      <c r="C48">
        <v>136882.62280000001</v>
      </c>
      <c r="D48">
        <f t="shared" si="0"/>
        <v>60168.48000000001</v>
      </c>
      <c r="E48">
        <f t="shared" si="1"/>
        <v>526507.41430000006</v>
      </c>
      <c r="F48">
        <f t="shared" si="2"/>
        <v>11.427850466264555</v>
      </c>
      <c r="G48">
        <f t="shared" si="3"/>
        <v>11.071777702485923</v>
      </c>
      <c r="H48">
        <f t="shared" si="4"/>
        <v>0.35607276377863251</v>
      </c>
    </row>
    <row r="49" spans="1:8" x14ac:dyDescent="0.25">
      <c r="A49" s="1">
        <v>43160</v>
      </c>
      <c r="B49">
        <v>14896.949999999901</v>
      </c>
      <c r="C49">
        <v>136945.13449999999</v>
      </c>
      <c r="D49">
        <f t="shared" si="0"/>
        <v>60719.559999999903</v>
      </c>
      <c r="E49">
        <f t="shared" si="1"/>
        <v>531769.84039999999</v>
      </c>
      <c r="F49">
        <f t="shared" si="2"/>
        <v>11.418391075794435</v>
      </c>
      <c r="G49">
        <f t="shared" si="3"/>
        <v>11.217890458696317</v>
      </c>
      <c r="H49">
        <f t="shared" si="4"/>
        <v>0.20050061709811828</v>
      </c>
    </row>
    <row r="50" spans="1:8" x14ac:dyDescent="0.25">
      <c r="A50" s="1">
        <v>43252</v>
      </c>
      <c r="B50">
        <v>17764.87</v>
      </c>
      <c r="C50">
        <v>134587.61300000001</v>
      </c>
      <c r="D50">
        <f t="shared" si="0"/>
        <v>62984.389999999898</v>
      </c>
      <c r="E50">
        <f t="shared" si="1"/>
        <v>538707.03940000001</v>
      </c>
      <c r="F50">
        <f t="shared" si="2"/>
        <v>11.691770367461787</v>
      </c>
      <c r="G50">
        <f t="shared" si="3"/>
        <v>11.32711392031495</v>
      </c>
      <c r="H50">
        <f t="shared" si="4"/>
        <v>0.36465644714683698</v>
      </c>
    </row>
    <row r="51" spans="1:8" x14ac:dyDescent="0.25">
      <c r="A51" s="1">
        <v>43344</v>
      </c>
      <c r="B51">
        <v>18377.71</v>
      </c>
      <c r="C51">
        <v>136449.39689999999</v>
      </c>
      <c r="D51">
        <f t="shared" si="0"/>
        <v>66422.229999999894</v>
      </c>
      <c r="E51">
        <f t="shared" si="1"/>
        <v>544864.7672</v>
      </c>
      <c r="F51">
        <f t="shared" si="2"/>
        <v>12.190590032337091</v>
      </c>
      <c r="G51">
        <f t="shared" si="3"/>
        <v>11.466203618131106</v>
      </c>
      <c r="H51">
        <f t="shared" si="4"/>
        <v>0.72438641420598593</v>
      </c>
    </row>
    <row r="52" spans="1:8" x14ac:dyDescent="0.25">
      <c r="A52" s="1">
        <v>43435</v>
      </c>
      <c r="B52">
        <v>19033.189999999999</v>
      </c>
      <c r="C52">
        <v>143385.93770000001</v>
      </c>
      <c r="D52">
        <f t="shared" si="0"/>
        <v>70072.719999999899</v>
      </c>
      <c r="E52">
        <f t="shared" si="1"/>
        <v>551368.0821</v>
      </c>
      <c r="F52">
        <f t="shared" si="2"/>
        <v>12.708882192294007</v>
      </c>
      <c r="G52">
        <f t="shared" si="3"/>
        <v>11.682150485464467</v>
      </c>
      <c r="H52">
        <f t="shared" si="4"/>
        <v>1.0267317068295405</v>
      </c>
    </row>
    <row r="53" spans="1:8" x14ac:dyDescent="0.25">
      <c r="A53" s="1">
        <v>43525</v>
      </c>
      <c r="B53">
        <v>17014.64</v>
      </c>
      <c r="C53">
        <v>144940.7132</v>
      </c>
      <c r="D53">
        <f t="shared" si="0"/>
        <v>72190.41</v>
      </c>
      <c r="E53">
        <f t="shared" si="1"/>
        <v>559363.66079999995</v>
      </c>
      <c r="F53">
        <f t="shared" si="2"/>
        <v>12.905809772617966</v>
      </c>
      <c r="G53">
        <f t="shared" si="3"/>
        <v>12.00240841697183</v>
      </c>
      <c r="H53">
        <f t="shared" si="4"/>
        <v>0.90340135564613533</v>
      </c>
    </row>
    <row r="54" spans="1:8" x14ac:dyDescent="0.25">
      <c r="A54" s="1">
        <v>43617</v>
      </c>
      <c r="B54">
        <v>20944.64</v>
      </c>
      <c r="C54">
        <v>145359.22760000001</v>
      </c>
      <c r="D54">
        <f t="shared" si="0"/>
        <v>75370.179999999993</v>
      </c>
      <c r="E54">
        <f t="shared" si="1"/>
        <v>570135.27540000004</v>
      </c>
      <c r="F54">
        <f t="shared" si="2"/>
        <v>13.219701227418559</v>
      </c>
      <c r="G54">
        <f t="shared" si="3"/>
        <v>12.374263091177712</v>
      </c>
      <c r="H54">
        <f t="shared" si="4"/>
        <v>0.84543813624084763</v>
      </c>
    </row>
    <row r="55" spans="1:8" x14ac:dyDescent="0.25">
      <c r="A55" s="1">
        <v>43709</v>
      </c>
      <c r="B55">
        <v>21714.87</v>
      </c>
      <c r="C55">
        <v>147623.62040000001</v>
      </c>
      <c r="D55">
        <f t="shared" si="0"/>
        <v>78707.34</v>
      </c>
      <c r="E55">
        <f t="shared" si="1"/>
        <v>581309.49890000001</v>
      </c>
      <c r="F55">
        <f t="shared" si="2"/>
        <v>13.539661772074304</v>
      </c>
      <c r="G55">
        <f t="shared" si="3"/>
        <v>12.756245806166906</v>
      </c>
      <c r="H55">
        <f t="shared" si="4"/>
        <v>0.78341596590739826</v>
      </c>
    </row>
    <row r="56" spans="1:8" x14ac:dyDescent="0.25">
      <c r="A56" s="1">
        <v>43800</v>
      </c>
      <c r="B56">
        <v>21268.27</v>
      </c>
      <c r="C56">
        <v>156048.45860000001</v>
      </c>
      <c r="D56">
        <f t="shared" si="0"/>
        <v>80942.42</v>
      </c>
      <c r="E56">
        <f t="shared" si="1"/>
        <v>593972.01980000001</v>
      </c>
      <c r="F56">
        <f t="shared" si="2"/>
        <v>13.627311944299098</v>
      </c>
      <c r="G56">
        <f t="shared" si="3"/>
        <v>13.093513741101209</v>
      </c>
      <c r="H56">
        <f t="shared" si="4"/>
        <v>0.53379820319788962</v>
      </c>
    </row>
    <row r="57" spans="1:8" x14ac:dyDescent="0.25">
      <c r="A57" s="1">
        <v>43891</v>
      </c>
      <c r="B57">
        <v>18339.95</v>
      </c>
      <c r="C57">
        <v>151214.1966</v>
      </c>
      <c r="D57">
        <f t="shared" si="0"/>
        <v>82267.73</v>
      </c>
      <c r="E57">
        <f t="shared" si="1"/>
        <v>600245.50320000004</v>
      </c>
      <c r="F57">
        <f t="shared" si="2"/>
        <v>13.70568035269206</v>
      </c>
      <c r="G57">
        <f t="shared" si="3"/>
        <v>13.323121179102483</v>
      </c>
      <c r="H57">
        <f t="shared" si="4"/>
        <v>0.38255917358957703</v>
      </c>
    </row>
    <row r="58" spans="1:8" x14ac:dyDescent="0.25">
      <c r="A58" s="1">
        <v>43983</v>
      </c>
      <c r="B58">
        <v>19179.439999999999</v>
      </c>
      <c r="C58">
        <v>136507.745</v>
      </c>
      <c r="D58">
        <f t="shared" si="0"/>
        <v>80502.53</v>
      </c>
      <c r="E58">
        <f t="shared" si="1"/>
        <v>591394.02060000005</v>
      </c>
      <c r="F58">
        <f t="shared" si="2"/>
        <v>13.612334111583676</v>
      </c>
      <c r="G58">
        <f t="shared" si="3"/>
        <v>13.523088824121004</v>
      </c>
      <c r="H58">
        <f t="shared" si="4"/>
        <v>8.9245287462672351E-2</v>
      </c>
    </row>
    <row r="59" spans="1:8" x14ac:dyDescent="0.25">
      <c r="A59" s="1">
        <v>44075</v>
      </c>
      <c r="B59">
        <v>24618.3</v>
      </c>
      <c r="C59">
        <v>150128.76259999999</v>
      </c>
      <c r="D59">
        <f t="shared" si="0"/>
        <v>83405.960000000006</v>
      </c>
      <c r="E59">
        <f t="shared" si="1"/>
        <v>593899.16280000005</v>
      </c>
      <c r="F59">
        <f t="shared" si="2"/>
        <v>14.043791475774075</v>
      </c>
      <c r="G59">
        <f t="shared" si="3"/>
        <v>13.621247045162285</v>
      </c>
      <c r="H59">
        <f t="shared" si="4"/>
        <v>0.42254443061179003</v>
      </c>
    </row>
    <row r="60" spans="1:8" x14ac:dyDescent="0.25">
      <c r="A60" s="1">
        <v>44166</v>
      </c>
      <c r="B60">
        <v>25586.25</v>
      </c>
      <c r="C60">
        <v>162271.79670000001</v>
      </c>
      <c r="D60">
        <f t="shared" si="0"/>
        <v>87723.94</v>
      </c>
      <c r="E60">
        <f t="shared" si="1"/>
        <v>600122.5009000001</v>
      </c>
      <c r="F60">
        <f t="shared" si="2"/>
        <v>14.617672203331978</v>
      </c>
      <c r="G60">
        <f t="shared" si="3"/>
        <v>13.747279471087229</v>
      </c>
      <c r="H60">
        <f t="shared" si="4"/>
        <v>0.87039273224474911</v>
      </c>
    </row>
    <row r="61" spans="1:8" x14ac:dyDescent="0.25">
      <c r="A61" s="1">
        <v>44256</v>
      </c>
      <c r="B61">
        <v>24247.8</v>
      </c>
      <c r="C61">
        <v>162670.38089999999</v>
      </c>
      <c r="D61">
        <f t="shared" si="0"/>
        <v>93631.79</v>
      </c>
      <c r="E61">
        <f t="shared" si="1"/>
        <v>611578.68519999995</v>
      </c>
      <c r="F61">
        <f t="shared" si="2"/>
        <v>15.309851743668975</v>
      </c>
      <c r="G61">
        <f t="shared" si="3"/>
        <v>13.994869535845446</v>
      </c>
      <c r="H61">
        <f t="shared" si="4"/>
        <v>1.3149822078235296</v>
      </c>
    </row>
    <row r="62" spans="1:8" x14ac:dyDescent="0.25">
      <c r="A62" s="1">
        <v>44348</v>
      </c>
      <c r="B62">
        <v>29606.34</v>
      </c>
      <c r="C62">
        <v>161775.4712</v>
      </c>
      <c r="D62">
        <f t="shared" si="0"/>
        <v>104058.69</v>
      </c>
      <c r="E62">
        <f t="shared" si="1"/>
        <v>636846.41139999998</v>
      </c>
      <c r="F62">
        <f t="shared" si="2"/>
        <v>16.339683813440111</v>
      </c>
      <c r="G62">
        <f t="shared" si="3"/>
        <v>14.395912383589675</v>
      </c>
      <c r="H62">
        <f t="shared" si="4"/>
        <v>1.943771429850436</v>
      </c>
    </row>
    <row r="63" spans="1:8" x14ac:dyDescent="0.25">
      <c r="A63" s="1">
        <v>44440</v>
      </c>
      <c r="B63">
        <v>31274.3999999999</v>
      </c>
      <c r="C63">
        <v>167039.88200000001</v>
      </c>
      <c r="D63">
        <f t="shared" si="0"/>
        <v>110714.78999999989</v>
      </c>
      <c r="E63">
        <f t="shared" si="1"/>
        <v>653757.53079999995</v>
      </c>
      <c r="F63">
        <f t="shared" si="2"/>
        <v>16.93514564406145</v>
      </c>
      <c r="G63">
        <f t="shared" si="3"/>
        <v>15.077749809053785</v>
      </c>
      <c r="H63">
        <f t="shared" si="4"/>
        <v>1.8573958350076651</v>
      </c>
    </row>
    <row r="64" spans="1:8" x14ac:dyDescent="0.25">
      <c r="A64" s="1">
        <v>44531</v>
      </c>
      <c r="B64">
        <v>33131.69</v>
      </c>
      <c r="C64">
        <v>177194.8</v>
      </c>
      <c r="D64">
        <f t="shared" si="0"/>
        <v>118260.22999999989</v>
      </c>
      <c r="E64">
        <f t="shared" si="1"/>
        <v>668680.53410000005</v>
      </c>
      <c r="F64">
        <f t="shared" si="2"/>
        <v>17.685609789609082</v>
      </c>
      <c r="G64">
        <f t="shared" si="3"/>
        <v>15.800588351125629</v>
      </c>
      <c r="H64">
        <f t="shared" si="4"/>
        <v>1.8850214384834523</v>
      </c>
    </row>
    <row r="65" spans="1:8" x14ac:dyDescent="0.25">
      <c r="A65" s="1">
        <v>44621</v>
      </c>
      <c r="B65">
        <v>30286.65</v>
      </c>
      <c r="C65">
        <v>179250.9418</v>
      </c>
      <c r="D65">
        <f t="shared" si="0"/>
        <v>124299.0799999999</v>
      </c>
      <c r="E65">
        <f t="shared" si="1"/>
        <v>685261.09499999997</v>
      </c>
      <c r="F65">
        <f t="shared" si="2"/>
        <v>18.13893724697736</v>
      </c>
      <c r="G65">
        <f t="shared" si="3"/>
        <v>16.567572747694904</v>
      </c>
      <c r="H65">
        <f t="shared" si="4"/>
        <v>1.5713644992824563</v>
      </c>
    </row>
    <row r="66" spans="1:8" x14ac:dyDescent="0.25">
      <c r="A66" s="1">
        <v>44713</v>
      </c>
      <c r="B66">
        <v>36781.919999999998</v>
      </c>
      <c r="C66">
        <v>179675.77069999999</v>
      </c>
      <c r="D66">
        <f t="shared" si="0"/>
        <v>131474.65999999992</v>
      </c>
      <c r="E66">
        <f t="shared" si="1"/>
        <v>703161.39450000005</v>
      </c>
      <c r="F66">
        <f t="shared" si="2"/>
        <v>18.697650500777016</v>
      </c>
      <c r="G66">
        <f t="shared" si="3"/>
        <v>17.274844123522001</v>
      </c>
      <c r="H66">
        <f t="shared" si="4"/>
        <v>1.4228063772550144</v>
      </c>
    </row>
    <row r="67" spans="1:8" x14ac:dyDescent="0.25">
      <c r="A67" s="1">
        <v>44805</v>
      </c>
      <c r="B67">
        <v>35902.29</v>
      </c>
      <c r="C67">
        <v>185671.34729999999</v>
      </c>
      <c r="D67">
        <f t="shared" si="0"/>
        <v>136102.55000000002</v>
      </c>
      <c r="E67">
        <f t="shared" si="1"/>
        <v>721792.85979999998</v>
      </c>
      <c r="F67">
        <f t="shared" si="2"/>
        <v>18.856178493884297</v>
      </c>
      <c r="G67">
        <f t="shared" si="3"/>
        <v>17.864335795356226</v>
      </c>
      <c r="H67">
        <f t="shared" si="4"/>
        <v>0.99184269852807105</v>
      </c>
    </row>
    <row r="68" spans="1:8" x14ac:dyDescent="0.25">
      <c r="A68" s="1">
        <v>44896</v>
      </c>
      <c r="B68">
        <v>37000.78</v>
      </c>
      <c r="C68">
        <v>196455.16329999999</v>
      </c>
      <c r="D68">
        <f t="shared" si="0"/>
        <v>139971.64000000001</v>
      </c>
      <c r="E68">
        <f t="shared" si="1"/>
        <v>741053.22310000006</v>
      </c>
      <c r="F68">
        <f t="shared" si="2"/>
        <v>18.888203389017821</v>
      </c>
      <c r="G68">
        <f t="shared" si="3"/>
        <v>18.344594007811938</v>
      </c>
      <c r="H68">
        <f t="shared" si="4"/>
        <v>0.54360938120588287</v>
      </c>
    </row>
    <row r="69" spans="1:8" x14ac:dyDescent="0.25">
      <c r="A69" s="1">
        <v>44986</v>
      </c>
      <c r="B69">
        <v>34674.17</v>
      </c>
      <c r="C69">
        <v>200604.59779999999</v>
      </c>
      <c r="D69">
        <f t="shared" si="0"/>
        <v>144359.15999999997</v>
      </c>
      <c r="E69">
        <f t="shared" si="1"/>
        <v>762406.87910000002</v>
      </c>
      <c r="F69">
        <f t="shared" si="2"/>
        <v>18.934661262554702</v>
      </c>
      <c r="G69">
        <f t="shared" si="3"/>
        <v>18.645242407664124</v>
      </c>
      <c r="H69">
        <f t="shared" si="4"/>
        <v>0.28941885489057739</v>
      </c>
    </row>
    <row r="70" spans="1:8" x14ac:dyDescent="0.25">
      <c r="A70" s="1">
        <v>45078</v>
      </c>
      <c r="B70">
        <v>40904.17</v>
      </c>
      <c r="C70">
        <v>200381.2867</v>
      </c>
      <c r="D70">
        <f t="shared" ref="D70:D79" si="5">SUM(B67:B70)</f>
        <v>148481.41</v>
      </c>
      <c r="E70">
        <f t="shared" ref="E70:E79" si="6">SUM(C67:C70)</f>
        <v>783112.39510000008</v>
      </c>
      <c r="F70">
        <f t="shared" ref="F70:F79" si="7">(D70/E70)*100</f>
        <v>18.960421381280725</v>
      </c>
      <c r="G70">
        <f t="shared" si="3"/>
        <v>18.844173411558458</v>
      </c>
      <c r="H70">
        <f t="shared" si="4"/>
        <v>0.11624796972226648</v>
      </c>
    </row>
    <row r="71" spans="1:8" x14ac:dyDescent="0.25">
      <c r="A71" s="1">
        <v>45170</v>
      </c>
      <c r="B71">
        <v>40241.4</v>
      </c>
      <c r="C71">
        <v>203473.8854</v>
      </c>
      <c r="D71">
        <f t="shared" si="5"/>
        <v>152820.51999999999</v>
      </c>
      <c r="E71">
        <f t="shared" si="6"/>
        <v>800914.93320000009</v>
      </c>
      <c r="F71">
        <f t="shared" si="7"/>
        <v>19.080742993443288</v>
      </c>
      <c r="G71">
        <f t="shared" si="3"/>
        <v>18.909866131684385</v>
      </c>
      <c r="H71">
        <f t="shared" si="4"/>
        <v>0.17087686175890227</v>
      </c>
    </row>
    <row r="72" spans="1:8" x14ac:dyDescent="0.25">
      <c r="A72" s="1">
        <v>45261</v>
      </c>
      <c r="B72">
        <v>39383.979999999901</v>
      </c>
      <c r="C72">
        <v>212953.65150000001</v>
      </c>
      <c r="D72">
        <f t="shared" si="5"/>
        <v>155203.71999999988</v>
      </c>
      <c r="E72">
        <f t="shared" si="6"/>
        <v>817413.42139999999</v>
      </c>
      <c r="F72">
        <f t="shared" si="7"/>
        <v>18.987175392126478</v>
      </c>
      <c r="G72">
        <f t="shared" si="3"/>
        <v>18.966007256574134</v>
      </c>
      <c r="H72">
        <f t="shared" si="4"/>
        <v>2.116813555234387E-2</v>
      </c>
    </row>
    <row r="73" spans="1:8" x14ac:dyDescent="0.25">
      <c r="A73" s="1">
        <v>45352</v>
      </c>
      <c r="B73">
        <v>36558.54</v>
      </c>
      <c r="C73">
        <v>214033.10399999999</v>
      </c>
      <c r="D73">
        <f t="shared" si="5"/>
        <v>157088.08999999991</v>
      </c>
      <c r="E73">
        <f t="shared" si="6"/>
        <v>830841.92760000005</v>
      </c>
      <c r="F73">
        <f t="shared" si="7"/>
        <v>18.907097100139161</v>
      </c>
      <c r="G73">
        <f t="shared" si="3"/>
        <v>18.990750257351298</v>
      </c>
      <c r="H73">
        <f t="shared" si="4"/>
        <v>-8.365315721213662E-2</v>
      </c>
    </row>
    <row r="74" spans="1:8" x14ac:dyDescent="0.25">
      <c r="A74" s="1">
        <v>45444</v>
      </c>
      <c r="B74">
        <v>43420.99</v>
      </c>
      <c r="C74">
        <v>213508.29639999999</v>
      </c>
      <c r="D74">
        <f t="shared" si="5"/>
        <v>159604.90999999989</v>
      </c>
      <c r="E74">
        <f t="shared" si="6"/>
        <v>843968.93729999999</v>
      </c>
      <c r="F74">
        <f t="shared" si="7"/>
        <v>18.911230371890593</v>
      </c>
      <c r="G74">
        <f t="shared" ref="G74:G79" si="8">AVERAGE(F70:F73)</f>
        <v>18.983859216747412</v>
      </c>
      <c r="H74">
        <f t="shared" ref="H74:H79" si="9">F74-G74</f>
        <v>-7.2628844856819086E-2</v>
      </c>
    </row>
    <row r="75" spans="1:8" x14ac:dyDescent="0.25">
      <c r="A75" s="1">
        <v>45536</v>
      </c>
      <c r="B75">
        <v>43022.5</v>
      </c>
      <c r="C75">
        <v>219181.96220000001</v>
      </c>
      <c r="D75">
        <f t="shared" si="5"/>
        <v>162386.00999999989</v>
      </c>
      <c r="E75">
        <f t="shared" si="6"/>
        <v>859677.01410000003</v>
      </c>
      <c r="F75">
        <f t="shared" si="7"/>
        <v>18.88918830405191</v>
      </c>
      <c r="G75">
        <f t="shared" si="8"/>
        <v>18.97156146439988</v>
      </c>
      <c r="H75">
        <f t="shared" si="9"/>
        <v>-8.2373160347970042E-2</v>
      </c>
    </row>
    <row r="76" spans="1:8" x14ac:dyDescent="0.25">
      <c r="A76" s="1">
        <v>45627</v>
      </c>
      <c r="B76">
        <v>43791.44</v>
      </c>
      <c r="C76">
        <v>231539.9382</v>
      </c>
      <c r="D76">
        <f t="shared" si="5"/>
        <v>166793.47</v>
      </c>
      <c r="E76">
        <f t="shared" si="6"/>
        <v>878263.30079999997</v>
      </c>
      <c r="F76">
        <f t="shared" si="7"/>
        <v>18.991283120684848</v>
      </c>
      <c r="G76">
        <f t="shared" si="8"/>
        <v>18.923672792052038</v>
      </c>
      <c r="H76">
        <f t="shared" si="9"/>
        <v>6.7610328632810024E-2</v>
      </c>
    </row>
    <row r="77" spans="1:8" x14ac:dyDescent="0.25">
      <c r="A77" s="1">
        <v>45717</v>
      </c>
      <c r="B77">
        <v>43552.6</v>
      </c>
      <c r="C77">
        <v>231004.36369999999</v>
      </c>
      <c r="D77">
        <f t="shared" si="5"/>
        <v>173787.53</v>
      </c>
      <c r="E77">
        <f t="shared" si="6"/>
        <v>895234.56050000002</v>
      </c>
      <c r="F77">
        <f t="shared" si="7"/>
        <v>19.412513509636785</v>
      </c>
      <c r="G77">
        <f t="shared" si="8"/>
        <v>18.924699724191626</v>
      </c>
      <c r="H77">
        <f t="shared" si="9"/>
        <v>0.48781378544515874</v>
      </c>
    </row>
    <row r="78" spans="1:8" x14ac:dyDescent="0.25">
      <c r="A78" s="1">
        <v>45809</v>
      </c>
      <c r="B78">
        <v>49833.629999999903</v>
      </c>
      <c r="C78">
        <v>231094.42509999999</v>
      </c>
      <c r="D78">
        <f t="shared" si="5"/>
        <v>180200.16999999993</v>
      </c>
      <c r="E78">
        <f t="shared" si="6"/>
        <v>912820.68920000002</v>
      </c>
      <c r="F78">
        <f t="shared" si="7"/>
        <v>19.741026045096341</v>
      </c>
      <c r="G78">
        <f t="shared" si="8"/>
        <v>19.051053826566033</v>
      </c>
      <c r="H78">
        <f t="shared" si="9"/>
        <v>0.68997221853030766</v>
      </c>
    </row>
    <row r="79" spans="1:8" x14ac:dyDescent="0.25">
      <c r="A79" s="1">
        <v>45901</v>
      </c>
      <c r="B79">
        <v>52416.65</v>
      </c>
      <c r="C79">
        <v>234696.03409999999</v>
      </c>
      <c r="D79">
        <f t="shared" si="5"/>
        <v>189594.31999999992</v>
      </c>
      <c r="E79">
        <f t="shared" si="6"/>
        <v>928334.7611</v>
      </c>
      <c r="F79">
        <f t="shared" si="7"/>
        <v>20.423055124570183</v>
      </c>
      <c r="G79">
        <f t="shared" si="8"/>
        <v>19.258502744867471</v>
      </c>
      <c r="H79">
        <f t="shared" si="9"/>
        <v>1.1645523797027124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79"/>
  <sheetViews>
    <sheetView topLeftCell="A43" workbookViewId="0">
      <selection activeCell="J75" sqref="J75"/>
    </sheetView>
  </sheetViews>
  <sheetFormatPr baseColWidth="10" defaultRowHeight="15" x14ac:dyDescent="0.25"/>
  <cols>
    <col min="4" max="4" width="11.85546875" bestFit="1" customWidth="1"/>
  </cols>
  <sheetData>
    <row r="1" spans="1:8" x14ac:dyDescent="0.25">
      <c r="A1" t="s">
        <v>0</v>
      </c>
      <c r="B1" t="s">
        <v>20</v>
      </c>
      <c r="C1" t="s">
        <v>5</v>
      </c>
      <c r="D1" t="str">
        <f>CONCATENATE(B1,"MV")</f>
        <v>AENMV</v>
      </c>
      <c r="E1" t="s">
        <v>22</v>
      </c>
      <c r="F1" t="s">
        <v>23</v>
      </c>
      <c r="G1" t="s">
        <v>24</v>
      </c>
      <c r="H1" t="s">
        <v>25</v>
      </c>
    </row>
    <row r="2" spans="1:8" x14ac:dyDescent="0.25">
      <c r="A2" s="1">
        <v>38869</v>
      </c>
      <c r="B2">
        <v>33464.582999999999</v>
      </c>
      <c r="C2">
        <v>56810.3</v>
      </c>
    </row>
    <row r="3" spans="1:8" x14ac:dyDescent="0.25">
      <c r="A3" s="1">
        <v>38961</v>
      </c>
      <c r="B3">
        <v>32962.396666666602</v>
      </c>
      <c r="C3">
        <v>58936.3</v>
      </c>
    </row>
    <row r="4" spans="1:8" x14ac:dyDescent="0.25">
      <c r="A4" s="1">
        <v>39052</v>
      </c>
      <c r="B4">
        <v>34654.9</v>
      </c>
      <c r="C4">
        <v>62174.3</v>
      </c>
    </row>
    <row r="5" spans="1:8" x14ac:dyDescent="0.25">
      <c r="A5" s="1">
        <v>39142</v>
      </c>
      <c r="B5">
        <v>34849.633333333302</v>
      </c>
      <c r="C5">
        <v>67591.7</v>
      </c>
      <c r="D5">
        <f>AVERAGE(B2:B5)</f>
        <v>33982.878249999972</v>
      </c>
      <c r="E5">
        <f>SUM(C2:C5)</f>
        <v>245512.60000000003</v>
      </c>
      <c r="F5">
        <f>(D5/E5)*100</f>
        <v>13.841602528750037</v>
      </c>
    </row>
    <row r="6" spans="1:8" x14ac:dyDescent="0.25">
      <c r="A6" s="1">
        <v>39234</v>
      </c>
      <c r="B6">
        <v>37606</v>
      </c>
      <c r="C6">
        <v>64074.5</v>
      </c>
      <c r="D6">
        <f t="shared" ref="D6:D69" si="0">AVERAGE(B3:B6)</f>
        <v>35018.232499999976</v>
      </c>
      <c r="E6">
        <f t="shared" ref="E6:E69" si="1">SUM(C3:C6)</f>
        <v>252776.8</v>
      </c>
      <c r="F6">
        <f t="shared" ref="F6:F69" si="2">(D6/E6)*100</f>
        <v>13.853420290153201</v>
      </c>
    </row>
    <row r="7" spans="1:8" x14ac:dyDescent="0.25">
      <c r="A7" s="1">
        <v>39326</v>
      </c>
      <c r="B7">
        <v>38018.6</v>
      </c>
      <c r="C7">
        <v>66701.7</v>
      </c>
      <c r="D7">
        <f t="shared" si="0"/>
        <v>36282.283333333326</v>
      </c>
      <c r="E7">
        <f t="shared" si="1"/>
        <v>260542.2</v>
      </c>
      <c r="F7">
        <f t="shared" si="2"/>
        <v>13.925683951902348</v>
      </c>
    </row>
    <row r="8" spans="1:8" x14ac:dyDescent="0.25">
      <c r="A8" s="1">
        <v>39417</v>
      </c>
      <c r="B8">
        <v>38743.133333333302</v>
      </c>
      <c r="C8">
        <v>70455.899999999994</v>
      </c>
      <c r="D8">
        <f t="shared" si="0"/>
        <v>37304.341666666653</v>
      </c>
      <c r="E8">
        <f t="shared" si="1"/>
        <v>268823.80000000005</v>
      </c>
      <c r="F8">
        <f t="shared" si="2"/>
        <v>13.87687461700439</v>
      </c>
    </row>
    <row r="9" spans="1:8" x14ac:dyDescent="0.25">
      <c r="A9" s="1">
        <v>39508</v>
      </c>
      <c r="B9">
        <v>38246.633333333302</v>
      </c>
      <c r="C9">
        <v>75225.8</v>
      </c>
      <c r="D9">
        <f t="shared" si="0"/>
        <v>38153.591666666653</v>
      </c>
      <c r="E9">
        <f t="shared" si="1"/>
        <v>276457.89999999997</v>
      </c>
      <c r="F9">
        <f t="shared" si="2"/>
        <v>13.800868655468577</v>
      </c>
      <c r="G9">
        <f>AVERAGE(F5:F8)</f>
        <v>13.874395346952495</v>
      </c>
      <c r="H9">
        <f>F9-G9</f>
        <v>-7.3526691483918327E-2</v>
      </c>
    </row>
    <row r="10" spans="1:8" x14ac:dyDescent="0.25">
      <c r="A10" s="1">
        <v>39600</v>
      </c>
      <c r="B10">
        <v>39990.5666666666</v>
      </c>
      <c r="C10">
        <v>74565.100000000006</v>
      </c>
      <c r="D10">
        <f t="shared" si="0"/>
        <v>38749.733333333301</v>
      </c>
      <c r="E10">
        <f t="shared" si="1"/>
        <v>286948.5</v>
      </c>
      <c r="F10">
        <f t="shared" si="2"/>
        <v>13.504072449702054</v>
      </c>
      <c r="G10">
        <f t="shared" ref="G10:G73" si="3">AVERAGE(F6:F9)</f>
        <v>13.86421187863213</v>
      </c>
      <c r="H10">
        <f t="shared" ref="H10:H73" si="4">F10-G10</f>
        <v>-0.36013942893007567</v>
      </c>
    </row>
    <row r="11" spans="1:8" x14ac:dyDescent="0.25">
      <c r="A11" s="1">
        <v>39692</v>
      </c>
      <c r="B11">
        <v>40075.366666666603</v>
      </c>
      <c r="C11">
        <v>75672.5</v>
      </c>
      <c r="D11">
        <f t="shared" si="0"/>
        <v>39263.924999999952</v>
      </c>
      <c r="E11">
        <f t="shared" si="1"/>
        <v>295919.30000000005</v>
      </c>
      <c r="F11">
        <f t="shared" si="2"/>
        <v>13.268456974587309</v>
      </c>
      <c r="G11">
        <f t="shared" si="3"/>
        <v>13.776874918519344</v>
      </c>
      <c r="H11">
        <f t="shared" si="4"/>
        <v>-0.50841794393203443</v>
      </c>
    </row>
    <row r="12" spans="1:8" x14ac:dyDescent="0.25">
      <c r="A12" s="1">
        <v>39783</v>
      </c>
      <c r="B12">
        <v>39097.333333333299</v>
      </c>
      <c r="C12">
        <v>78865.899999999994</v>
      </c>
      <c r="D12">
        <f t="shared" si="0"/>
        <v>39352.474999999948</v>
      </c>
      <c r="E12">
        <f t="shared" si="1"/>
        <v>304329.30000000005</v>
      </c>
      <c r="F12">
        <f t="shared" si="2"/>
        <v>12.930886050077973</v>
      </c>
      <c r="G12">
        <f t="shared" si="3"/>
        <v>13.612568174190582</v>
      </c>
      <c r="H12">
        <f t="shared" si="4"/>
        <v>-0.68168212411260853</v>
      </c>
    </row>
    <row r="13" spans="1:8" x14ac:dyDescent="0.25">
      <c r="A13" s="1">
        <v>39873</v>
      </c>
      <c r="B13">
        <v>38013.866666666603</v>
      </c>
      <c r="C13">
        <v>78253.3</v>
      </c>
      <c r="D13">
        <f t="shared" si="0"/>
        <v>39294.283333333275</v>
      </c>
      <c r="E13">
        <f t="shared" si="1"/>
        <v>307356.79999999999</v>
      </c>
      <c r="F13">
        <f t="shared" si="2"/>
        <v>12.784582391973522</v>
      </c>
      <c r="G13">
        <f t="shared" si="3"/>
        <v>13.376071032458977</v>
      </c>
      <c r="H13">
        <f t="shared" si="4"/>
        <v>-0.59148864048545491</v>
      </c>
    </row>
    <row r="14" spans="1:8" x14ac:dyDescent="0.25">
      <c r="A14" s="1">
        <v>39965</v>
      </c>
      <c r="B14">
        <v>39900.733333333301</v>
      </c>
      <c r="C14">
        <v>74997.8</v>
      </c>
      <c r="D14">
        <f t="shared" si="0"/>
        <v>39271.824999999953</v>
      </c>
      <c r="E14">
        <f t="shared" si="1"/>
        <v>307789.5</v>
      </c>
      <c r="F14">
        <f t="shared" si="2"/>
        <v>12.759312777076525</v>
      </c>
      <c r="G14">
        <f t="shared" si="3"/>
        <v>13.121999466585214</v>
      </c>
      <c r="H14">
        <f t="shared" si="4"/>
        <v>-0.36268668950868843</v>
      </c>
    </row>
    <row r="15" spans="1:8" x14ac:dyDescent="0.25">
      <c r="A15" s="1">
        <v>40057</v>
      </c>
      <c r="B15">
        <v>39284.033333333296</v>
      </c>
      <c r="C15">
        <v>76667.600000000006</v>
      </c>
      <c r="D15">
        <f t="shared" si="0"/>
        <v>39073.991666666625</v>
      </c>
      <c r="E15">
        <f t="shared" si="1"/>
        <v>308784.59999999998</v>
      </c>
      <c r="F15">
        <f t="shared" si="2"/>
        <v>12.654125777861536</v>
      </c>
      <c r="G15">
        <f t="shared" si="3"/>
        <v>12.935809548428832</v>
      </c>
      <c r="H15">
        <f t="shared" si="4"/>
        <v>-0.28168377056729632</v>
      </c>
    </row>
    <row r="16" spans="1:8" x14ac:dyDescent="0.25">
      <c r="A16" s="1">
        <v>40148</v>
      </c>
      <c r="B16">
        <v>39913.5</v>
      </c>
      <c r="C16">
        <v>80066.899999999994</v>
      </c>
      <c r="D16">
        <f t="shared" si="0"/>
        <v>39278.033333333296</v>
      </c>
      <c r="E16">
        <f t="shared" si="1"/>
        <v>309985.59999999998</v>
      </c>
      <c r="F16">
        <f t="shared" si="2"/>
        <v>12.67092191809339</v>
      </c>
      <c r="G16">
        <f t="shared" si="3"/>
        <v>12.782226749247389</v>
      </c>
      <c r="H16">
        <f t="shared" si="4"/>
        <v>-0.11130483115399947</v>
      </c>
    </row>
    <row r="17" spans="1:8" x14ac:dyDescent="0.25">
      <c r="A17" s="1">
        <v>40238</v>
      </c>
      <c r="B17">
        <v>40802.0666666666</v>
      </c>
      <c r="C17">
        <v>83764.100000000006</v>
      </c>
      <c r="D17">
        <f t="shared" si="0"/>
        <v>39975.083333333299</v>
      </c>
      <c r="E17">
        <f t="shared" si="1"/>
        <v>315496.40000000002</v>
      </c>
      <c r="F17">
        <f t="shared" si="2"/>
        <v>12.670535490526452</v>
      </c>
      <c r="G17">
        <f t="shared" si="3"/>
        <v>12.717235716251244</v>
      </c>
      <c r="H17">
        <f t="shared" si="4"/>
        <v>-4.6700225724791267E-2</v>
      </c>
    </row>
    <row r="18" spans="1:8" x14ac:dyDescent="0.25">
      <c r="A18" s="1">
        <v>40330</v>
      </c>
      <c r="B18">
        <v>40990.833333333299</v>
      </c>
      <c r="C18">
        <v>80946.3</v>
      </c>
      <c r="D18">
        <f t="shared" si="0"/>
        <v>40247.608333333294</v>
      </c>
      <c r="E18">
        <f t="shared" si="1"/>
        <v>321444.90000000002</v>
      </c>
      <c r="F18">
        <f t="shared" si="2"/>
        <v>12.520842089369996</v>
      </c>
      <c r="G18">
        <f t="shared" si="3"/>
        <v>12.688723990889477</v>
      </c>
      <c r="H18">
        <f t="shared" si="4"/>
        <v>-0.16788190151948079</v>
      </c>
    </row>
    <row r="19" spans="1:8" x14ac:dyDescent="0.25">
      <c r="A19" s="1">
        <v>40422</v>
      </c>
      <c r="B19">
        <v>42521.5666666666</v>
      </c>
      <c r="C19">
        <v>82168.100000000006</v>
      </c>
      <c r="D19">
        <f t="shared" si="0"/>
        <v>41056.991666666625</v>
      </c>
      <c r="E19">
        <f t="shared" si="1"/>
        <v>326945.40000000002</v>
      </c>
      <c r="F19">
        <f t="shared" si="2"/>
        <v>12.557751742849607</v>
      </c>
      <c r="G19">
        <f t="shared" si="3"/>
        <v>12.629106318962844</v>
      </c>
      <c r="H19">
        <f t="shared" si="4"/>
        <v>-7.135457611323659E-2</v>
      </c>
    </row>
    <row r="20" spans="1:8" x14ac:dyDescent="0.25">
      <c r="A20" s="1">
        <v>40513</v>
      </c>
      <c r="B20">
        <v>42932.333333333299</v>
      </c>
      <c r="C20">
        <v>87555.7</v>
      </c>
      <c r="D20">
        <f t="shared" si="0"/>
        <v>41811.699999999953</v>
      </c>
      <c r="E20">
        <f t="shared" si="1"/>
        <v>334434.2</v>
      </c>
      <c r="F20">
        <f t="shared" si="2"/>
        <v>12.502220167674224</v>
      </c>
      <c r="G20">
        <f t="shared" si="3"/>
        <v>12.60501281020986</v>
      </c>
      <c r="H20">
        <f t="shared" si="4"/>
        <v>-0.10279264253563625</v>
      </c>
    </row>
    <row r="21" spans="1:8" x14ac:dyDescent="0.25">
      <c r="A21" s="1">
        <v>40603</v>
      </c>
      <c r="B21">
        <v>43987.966666666602</v>
      </c>
      <c r="C21">
        <v>91460.7</v>
      </c>
      <c r="D21">
        <f t="shared" si="0"/>
        <v>42608.174999999952</v>
      </c>
      <c r="E21">
        <f t="shared" si="1"/>
        <v>342130.80000000005</v>
      </c>
      <c r="F21">
        <f t="shared" si="2"/>
        <v>12.453767681833948</v>
      </c>
      <c r="G21">
        <f t="shared" si="3"/>
        <v>12.56283737260507</v>
      </c>
      <c r="H21">
        <f t="shared" si="4"/>
        <v>-0.10906969077112194</v>
      </c>
    </row>
    <row r="22" spans="1:8" x14ac:dyDescent="0.25">
      <c r="A22" s="1">
        <v>40695</v>
      </c>
      <c r="B22">
        <v>45060.5</v>
      </c>
      <c r="C22">
        <v>89623.1</v>
      </c>
      <c r="D22">
        <f t="shared" si="0"/>
        <v>43625.591666666631</v>
      </c>
      <c r="E22">
        <f t="shared" si="1"/>
        <v>350807.6</v>
      </c>
      <c r="F22">
        <f t="shared" si="2"/>
        <v>12.435760133664902</v>
      </c>
      <c r="G22">
        <f t="shared" si="3"/>
        <v>12.508645420431943</v>
      </c>
      <c r="H22">
        <f t="shared" si="4"/>
        <v>-7.2885286767041535E-2</v>
      </c>
    </row>
    <row r="23" spans="1:8" x14ac:dyDescent="0.25">
      <c r="A23" s="1">
        <v>40787</v>
      </c>
      <c r="B23">
        <v>44047.433333333298</v>
      </c>
      <c r="C23">
        <v>92060.3</v>
      </c>
      <c r="D23">
        <f t="shared" si="0"/>
        <v>44007.058333333298</v>
      </c>
      <c r="E23">
        <f t="shared" si="1"/>
        <v>360699.8</v>
      </c>
      <c r="F23">
        <f t="shared" si="2"/>
        <v>12.20046651906469</v>
      </c>
      <c r="G23">
        <f t="shared" si="3"/>
        <v>12.48737493150567</v>
      </c>
      <c r="H23">
        <f t="shared" si="4"/>
        <v>-0.28690841244097953</v>
      </c>
    </row>
    <row r="24" spans="1:8" x14ac:dyDescent="0.25">
      <c r="A24" s="1">
        <v>40878</v>
      </c>
      <c r="B24">
        <v>46583.6</v>
      </c>
      <c r="C24">
        <v>96206</v>
      </c>
      <c r="D24">
        <f t="shared" si="0"/>
        <v>44919.874999999978</v>
      </c>
      <c r="E24">
        <f t="shared" si="1"/>
        <v>369350.1</v>
      </c>
      <c r="F24">
        <f t="shared" si="2"/>
        <v>12.161868915156644</v>
      </c>
      <c r="G24">
        <f t="shared" si="3"/>
        <v>12.398053625559442</v>
      </c>
      <c r="H24">
        <f t="shared" si="4"/>
        <v>-0.23618471040279765</v>
      </c>
    </row>
    <row r="25" spans="1:8" x14ac:dyDescent="0.25">
      <c r="A25" s="1">
        <v>40969</v>
      </c>
      <c r="B25">
        <v>44138.400000000001</v>
      </c>
      <c r="C25">
        <v>98146.8</v>
      </c>
      <c r="D25">
        <f t="shared" si="0"/>
        <v>44957.483333333323</v>
      </c>
      <c r="E25">
        <f t="shared" si="1"/>
        <v>376036.2</v>
      </c>
      <c r="F25">
        <f t="shared" si="2"/>
        <v>11.955626435256319</v>
      </c>
      <c r="G25">
        <f t="shared" si="3"/>
        <v>12.312965812430047</v>
      </c>
      <c r="H25">
        <f t="shared" si="4"/>
        <v>-0.35733937717372832</v>
      </c>
    </row>
    <row r="26" spans="1:8" x14ac:dyDescent="0.25">
      <c r="A26" s="1">
        <v>41061</v>
      </c>
      <c r="B26">
        <v>47757.766666666597</v>
      </c>
      <c r="C26">
        <v>95001.2</v>
      </c>
      <c r="D26">
        <f t="shared" si="0"/>
        <v>45631.799999999974</v>
      </c>
      <c r="E26">
        <f t="shared" si="1"/>
        <v>381414.3</v>
      </c>
      <c r="F26">
        <f t="shared" si="2"/>
        <v>11.963840894271655</v>
      </c>
      <c r="G26">
        <f t="shared" si="3"/>
        <v>12.188430500785639</v>
      </c>
      <c r="H26">
        <f t="shared" si="4"/>
        <v>-0.22458960651398385</v>
      </c>
    </row>
    <row r="27" spans="1:8" x14ac:dyDescent="0.25">
      <c r="A27" s="1">
        <v>41153</v>
      </c>
      <c r="B27">
        <v>48549.2</v>
      </c>
      <c r="C27">
        <v>95942.2</v>
      </c>
      <c r="D27">
        <f t="shared" si="0"/>
        <v>46757.241666666654</v>
      </c>
      <c r="E27">
        <f t="shared" si="1"/>
        <v>385296.2</v>
      </c>
      <c r="F27">
        <f t="shared" si="2"/>
        <v>12.135401716047719</v>
      </c>
      <c r="G27">
        <f t="shared" si="3"/>
        <v>12.070450690937328</v>
      </c>
      <c r="H27">
        <f t="shared" si="4"/>
        <v>6.4951025110390859E-2</v>
      </c>
    </row>
    <row r="28" spans="1:8" x14ac:dyDescent="0.25">
      <c r="A28" s="1">
        <v>41244</v>
      </c>
      <c r="B28">
        <v>48479.1</v>
      </c>
      <c r="C28">
        <v>101835.8</v>
      </c>
      <c r="D28">
        <f t="shared" si="0"/>
        <v>47231.116666666647</v>
      </c>
      <c r="E28">
        <f t="shared" si="1"/>
        <v>390926</v>
      </c>
      <c r="F28">
        <f t="shared" si="2"/>
        <v>12.081856071652089</v>
      </c>
      <c r="G28">
        <f t="shared" si="3"/>
        <v>12.054184490183085</v>
      </c>
      <c r="H28">
        <f t="shared" si="4"/>
        <v>2.7671581469004281E-2</v>
      </c>
    </row>
    <row r="29" spans="1:8" x14ac:dyDescent="0.25">
      <c r="A29" s="1">
        <v>41334</v>
      </c>
      <c r="B29">
        <v>51856.800000000003</v>
      </c>
      <c r="C29">
        <v>103834.56359999999</v>
      </c>
      <c r="D29">
        <f t="shared" si="0"/>
        <v>49160.716666666645</v>
      </c>
      <c r="E29">
        <f t="shared" si="1"/>
        <v>396613.76360000001</v>
      </c>
      <c r="F29">
        <f t="shared" si="2"/>
        <v>12.395111107704041</v>
      </c>
      <c r="G29">
        <f t="shared" si="3"/>
        <v>12.034181279306946</v>
      </c>
      <c r="H29">
        <f t="shared" si="4"/>
        <v>0.36092982839709542</v>
      </c>
    </row>
    <row r="30" spans="1:8" x14ac:dyDescent="0.25">
      <c r="A30" s="1">
        <v>41426</v>
      </c>
      <c r="B30">
        <v>53236.2</v>
      </c>
      <c r="C30">
        <v>102176.59020000001</v>
      </c>
      <c r="D30">
        <f t="shared" si="0"/>
        <v>50530.324999999997</v>
      </c>
      <c r="E30">
        <f t="shared" si="1"/>
        <v>403789.15379999997</v>
      </c>
      <c r="F30">
        <f t="shared" si="2"/>
        <v>12.514037220778862</v>
      </c>
      <c r="G30">
        <f t="shared" si="3"/>
        <v>12.144052447418876</v>
      </c>
      <c r="H30">
        <f t="shared" si="4"/>
        <v>0.36998477335998636</v>
      </c>
    </row>
    <row r="31" spans="1:8" x14ac:dyDescent="0.25">
      <c r="A31" s="1">
        <v>41518</v>
      </c>
      <c r="B31">
        <v>48071.266666666597</v>
      </c>
      <c r="C31">
        <v>102217.26420000001</v>
      </c>
      <c r="D31">
        <f t="shared" si="0"/>
        <v>50410.841666666645</v>
      </c>
      <c r="E31">
        <f t="shared" si="1"/>
        <v>410064.21799999999</v>
      </c>
      <c r="F31">
        <f t="shared" si="2"/>
        <v>12.293401729254672</v>
      </c>
      <c r="G31">
        <f t="shared" si="3"/>
        <v>12.281601529045677</v>
      </c>
      <c r="H31">
        <f t="shared" si="4"/>
        <v>1.1800200208995193E-2</v>
      </c>
    </row>
    <row r="32" spans="1:8" x14ac:dyDescent="0.25">
      <c r="A32" s="1">
        <v>41609</v>
      </c>
      <c r="B32">
        <v>50706.166666666599</v>
      </c>
      <c r="C32">
        <v>108154.8023</v>
      </c>
      <c r="D32">
        <f t="shared" si="0"/>
        <v>50967.608333333301</v>
      </c>
      <c r="E32">
        <f t="shared" si="1"/>
        <v>416383.22029999999</v>
      </c>
      <c r="F32">
        <f t="shared" si="2"/>
        <v>12.240552896586863</v>
      </c>
      <c r="G32">
        <f t="shared" si="3"/>
        <v>12.321101532347416</v>
      </c>
      <c r="H32">
        <f t="shared" si="4"/>
        <v>-8.0548635760553822E-2</v>
      </c>
    </row>
    <row r="33" spans="1:8" x14ac:dyDescent="0.25">
      <c r="A33" s="1">
        <v>41699</v>
      </c>
      <c r="B33">
        <v>47852</v>
      </c>
      <c r="C33">
        <v>109523.7172</v>
      </c>
      <c r="D33">
        <f t="shared" si="0"/>
        <v>49966.408333333296</v>
      </c>
      <c r="E33">
        <f t="shared" si="1"/>
        <v>422072.37390000001</v>
      </c>
      <c r="F33">
        <f t="shared" si="2"/>
        <v>11.838350819229795</v>
      </c>
      <c r="G33">
        <f t="shared" si="3"/>
        <v>12.360775738581109</v>
      </c>
      <c r="H33">
        <f t="shared" si="4"/>
        <v>-0.52242491935131419</v>
      </c>
    </row>
    <row r="34" spans="1:8" x14ac:dyDescent="0.25">
      <c r="A34" s="1">
        <v>41791</v>
      </c>
      <c r="B34">
        <v>52232.466666666602</v>
      </c>
      <c r="C34">
        <v>109403.59239999999</v>
      </c>
      <c r="D34">
        <f t="shared" si="0"/>
        <v>49715.474999999948</v>
      </c>
      <c r="E34">
        <f t="shared" si="1"/>
        <v>429299.37609999999</v>
      </c>
      <c r="F34">
        <f t="shared" si="2"/>
        <v>11.580607326207561</v>
      </c>
      <c r="G34">
        <f t="shared" si="3"/>
        <v>12.221585666462548</v>
      </c>
      <c r="H34">
        <f t="shared" si="4"/>
        <v>-0.64097834025498734</v>
      </c>
    </row>
    <row r="35" spans="1:8" x14ac:dyDescent="0.25">
      <c r="A35" s="1">
        <v>41883</v>
      </c>
      <c r="B35">
        <v>50955.733333333301</v>
      </c>
      <c r="C35">
        <v>111334.2455</v>
      </c>
      <c r="D35">
        <f t="shared" si="0"/>
        <v>50436.591666666623</v>
      </c>
      <c r="E35">
        <f t="shared" si="1"/>
        <v>438416.35740000004</v>
      </c>
      <c r="F35">
        <f t="shared" si="2"/>
        <v>11.50426776176363</v>
      </c>
      <c r="G35">
        <f t="shared" si="3"/>
        <v>11.988228192819724</v>
      </c>
      <c r="H35">
        <f t="shared" si="4"/>
        <v>-0.48396043105609365</v>
      </c>
    </row>
    <row r="36" spans="1:8" x14ac:dyDescent="0.25">
      <c r="A36" s="1">
        <v>41974</v>
      </c>
      <c r="B36">
        <v>50885.233333333301</v>
      </c>
      <c r="C36">
        <v>117064.7711</v>
      </c>
      <c r="D36">
        <f t="shared" si="0"/>
        <v>50481.358333333301</v>
      </c>
      <c r="E36">
        <f t="shared" si="1"/>
        <v>447326.32620000001</v>
      </c>
      <c r="F36">
        <f t="shared" si="2"/>
        <v>11.285130200622943</v>
      </c>
      <c r="G36">
        <f t="shared" si="3"/>
        <v>11.790944700946962</v>
      </c>
      <c r="H36">
        <f t="shared" si="4"/>
        <v>-0.50581450032401953</v>
      </c>
    </row>
    <row r="37" spans="1:8" x14ac:dyDescent="0.25">
      <c r="A37" s="1">
        <v>42064</v>
      </c>
      <c r="B37">
        <v>55302.6</v>
      </c>
      <c r="C37">
        <v>117897.27529999999</v>
      </c>
      <c r="D37">
        <f t="shared" si="0"/>
        <v>52344.008333333302</v>
      </c>
      <c r="E37">
        <f t="shared" si="1"/>
        <v>455699.88429999998</v>
      </c>
      <c r="F37">
        <f t="shared" si="2"/>
        <v>11.486509024187896</v>
      </c>
      <c r="G37">
        <f t="shared" si="3"/>
        <v>11.552089026955983</v>
      </c>
      <c r="H37">
        <f t="shared" si="4"/>
        <v>-6.5580002768086842E-2</v>
      </c>
    </row>
    <row r="38" spans="1:8" x14ac:dyDescent="0.25">
      <c r="A38" s="1">
        <v>42156</v>
      </c>
      <c r="B38">
        <v>58776.7</v>
      </c>
      <c r="C38">
        <v>116183.442</v>
      </c>
      <c r="D38">
        <f t="shared" si="0"/>
        <v>53980.066666666651</v>
      </c>
      <c r="E38">
        <f t="shared" si="1"/>
        <v>462479.73389999999</v>
      </c>
      <c r="F38">
        <f t="shared" si="2"/>
        <v>11.671877211021432</v>
      </c>
      <c r="G38">
        <f t="shared" si="3"/>
        <v>11.464128578195508</v>
      </c>
      <c r="H38">
        <f t="shared" si="4"/>
        <v>0.20774863282592371</v>
      </c>
    </row>
    <row r="39" spans="1:8" x14ac:dyDescent="0.25">
      <c r="A39" s="1">
        <v>42248</v>
      </c>
      <c r="B39">
        <v>56386.033333333296</v>
      </c>
      <c r="C39">
        <v>118716.5307</v>
      </c>
      <c r="D39">
        <f t="shared" si="0"/>
        <v>55337.641666666648</v>
      </c>
      <c r="E39">
        <f t="shared" si="1"/>
        <v>469862.01909999998</v>
      </c>
      <c r="F39">
        <f t="shared" si="2"/>
        <v>11.777423885561864</v>
      </c>
      <c r="G39">
        <f t="shared" si="3"/>
        <v>11.486946049398975</v>
      </c>
      <c r="H39">
        <f t="shared" si="4"/>
        <v>0.29047783616288925</v>
      </c>
    </row>
    <row r="40" spans="1:8" x14ac:dyDescent="0.25">
      <c r="A40" s="1">
        <v>42339</v>
      </c>
      <c r="B40">
        <v>58183.6</v>
      </c>
      <c r="C40">
        <v>123225.5732</v>
      </c>
      <c r="D40">
        <f t="shared" si="0"/>
        <v>57162.233333333323</v>
      </c>
      <c r="E40">
        <f t="shared" si="1"/>
        <v>476022.82120000001</v>
      </c>
      <c r="F40">
        <f t="shared" si="2"/>
        <v>12.0082968268693</v>
      </c>
      <c r="G40">
        <f t="shared" si="3"/>
        <v>11.555235080348535</v>
      </c>
      <c r="H40">
        <f t="shared" si="4"/>
        <v>0.45306174652076514</v>
      </c>
    </row>
    <row r="41" spans="1:8" x14ac:dyDescent="0.25">
      <c r="A41" s="1">
        <v>42430</v>
      </c>
      <c r="B41">
        <v>58136.5666666666</v>
      </c>
      <c r="C41">
        <v>123838.5435</v>
      </c>
      <c r="D41">
        <f t="shared" si="0"/>
        <v>57870.724999999969</v>
      </c>
      <c r="E41">
        <f t="shared" si="1"/>
        <v>481964.08939999994</v>
      </c>
      <c r="F41">
        <f t="shared" si="2"/>
        <v>12.007269062731124</v>
      </c>
      <c r="G41">
        <f t="shared" si="3"/>
        <v>11.736026736910123</v>
      </c>
      <c r="H41">
        <f t="shared" si="4"/>
        <v>0.27124232582100127</v>
      </c>
    </row>
    <row r="42" spans="1:8" x14ac:dyDescent="0.25">
      <c r="A42" s="1">
        <v>42522</v>
      </c>
      <c r="B42">
        <v>63982.8</v>
      </c>
      <c r="C42">
        <v>122799.36689999999</v>
      </c>
      <c r="D42">
        <f t="shared" si="0"/>
        <v>59172.249999999971</v>
      </c>
      <c r="E42">
        <f t="shared" si="1"/>
        <v>488580.01430000004</v>
      </c>
      <c r="F42">
        <f t="shared" si="2"/>
        <v>12.111066410437896</v>
      </c>
      <c r="G42">
        <f t="shared" si="3"/>
        <v>11.866216746545931</v>
      </c>
      <c r="H42">
        <f t="shared" si="4"/>
        <v>0.24484966389196572</v>
      </c>
    </row>
    <row r="43" spans="1:8" x14ac:dyDescent="0.25">
      <c r="A43" s="1">
        <v>42614</v>
      </c>
      <c r="B43">
        <v>65762</v>
      </c>
      <c r="C43">
        <v>124518.04949999999</v>
      </c>
      <c r="D43">
        <f t="shared" si="0"/>
        <v>61516.241666666654</v>
      </c>
      <c r="E43">
        <f t="shared" si="1"/>
        <v>494381.5331</v>
      </c>
      <c r="F43">
        <f t="shared" si="2"/>
        <v>12.44307029045593</v>
      </c>
      <c r="G43">
        <f t="shared" si="3"/>
        <v>11.976014046400046</v>
      </c>
      <c r="H43">
        <f t="shared" si="4"/>
        <v>0.46705624405588431</v>
      </c>
    </row>
    <row r="44" spans="1:8" x14ac:dyDescent="0.25">
      <c r="A44" s="1">
        <v>42705</v>
      </c>
      <c r="B44">
        <v>67480.733333333294</v>
      </c>
      <c r="C44">
        <v>130845.7444</v>
      </c>
      <c r="D44">
        <f t="shared" si="0"/>
        <v>63840.52499999998</v>
      </c>
      <c r="E44">
        <f t="shared" si="1"/>
        <v>502001.70429999998</v>
      </c>
      <c r="F44">
        <f t="shared" si="2"/>
        <v>12.717192880653727</v>
      </c>
      <c r="G44">
        <f t="shared" si="3"/>
        <v>12.142425647623563</v>
      </c>
      <c r="H44">
        <f t="shared" si="4"/>
        <v>0.57476723303016364</v>
      </c>
    </row>
    <row r="45" spans="1:8" x14ac:dyDescent="0.25">
      <c r="A45" s="1">
        <v>42795</v>
      </c>
      <c r="B45">
        <v>68922.533333333296</v>
      </c>
      <c r="C45">
        <v>131682.7084</v>
      </c>
      <c r="D45">
        <f t="shared" si="0"/>
        <v>66537.016666666648</v>
      </c>
      <c r="E45">
        <f t="shared" si="1"/>
        <v>509845.86919999996</v>
      </c>
      <c r="F45">
        <f t="shared" si="2"/>
        <v>13.050417917687554</v>
      </c>
      <c r="G45">
        <f t="shared" si="3"/>
        <v>12.319649661069668</v>
      </c>
      <c r="H45">
        <f t="shared" si="4"/>
        <v>0.73076825661788547</v>
      </c>
    </row>
    <row r="46" spans="1:8" x14ac:dyDescent="0.25">
      <c r="A46" s="1">
        <v>42887</v>
      </c>
      <c r="B46">
        <v>73707.966666666602</v>
      </c>
      <c r="C46">
        <v>127650.414</v>
      </c>
      <c r="D46">
        <f t="shared" si="0"/>
        <v>68968.308333333291</v>
      </c>
      <c r="E46">
        <f t="shared" si="1"/>
        <v>514696.91629999998</v>
      </c>
      <c r="F46">
        <f t="shared" si="2"/>
        <v>13.399790468753055</v>
      </c>
      <c r="G46">
        <f t="shared" si="3"/>
        <v>12.580436874808777</v>
      </c>
      <c r="H46">
        <f t="shared" si="4"/>
        <v>0.8193535939442782</v>
      </c>
    </row>
    <row r="47" spans="1:8" x14ac:dyDescent="0.25">
      <c r="A47" s="1">
        <v>42979</v>
      </c>
      <c r="B47">
        <v>75534.366666666596</v>
      </c>
      <c r="C47">
        <v>130291.6691</v>
      </c>
      <c r="D47">
        <f t="shared" si="0"/>
        <v>71411.399999999951</v>
      </c>
      <c r="E47">
        <f t="shared" si="1"/>
        <v>520470.53589999996</v>
      </c>
      <c r="F47">
        <f t="shared" si="2"/>
        <v>13.720546135530043</v>
      </c>
      <c r="G47">
        <f t="shared" si="3"/>
        <v>12.902617889387566</v>
      </c>
      <c r="H47">
        <f t="shared" si="4"/>
        <v>0.81792824614247728</v>
      </c>
    </row>
    <row r="48" spans="1:8" x14ac:dyDescent="0.25">
      <c r="A48" s="1">
        <v>43070</v>
      </c>
      <c r="B48">
        <v>77183.433333333305</v>
      </c>
      <c r="C48">
        <v>136882.62280000001</v>
      </c>
      <c r="D48">
        <f t="shared" si="0"/>
        <v>73837.074999999939</v>
      </c>
      <c r="E48">
        <f t="shared" si="1"/>
        <v>526507.41430000006</v>
      </c>
      <c r="F48">
        <f t="shared" si="2"/>
        <v>14.023938313986992</v>
      </c>
      <c r="G48">
        <f t="shared" si="3"/>
        <v>13.221986850656094</v>
      </c>
      <c r="H48">
        <f t="shared" si="4"/>
        <v>0.80195146333089795</v>
      </c>
    </row>
    <row r="49" spans="1:8" x14ac:dyDescent="0.25">
      <c r="A49" s="1">
        <v>43160</v>
      </c>
      <c r="B49">
        <v>77680.333333333299</v>
      </c>
      <c r="C49">
        <v>136945.13449999999</v>
      </c>
      <c r="D49">
        <f t="shared" si="0"/>
        <v>76026.524999999951</v>
      </c>
      <c r="E49">
        <f t="shared" si="1"/>
        <v>531769.84039999999</v>
      </c>
      <c r="F49">
        <f t="shared" si="2"/>
        <v>14.296885461351552</v>
      </c>
      <c r="G49">
        <f t="shared" si="3"/>
        <v>13.54867320898941</v>
      </c>
      <c r="H49">
        <f t="shared" si="4"/>
        <v>0.74821225236214239</v>
      </c>
    </row>
    <row r="50" spans="1:8" x14ac:dyDescent="0.25">
      <c r="A50" s="1">
        <v>43252</v>
      </c>
      <c r="B50">
        <v>78269.333333333299</v>
      </c>
      <c r="C50">
        <v>134587.61300000001</v>
      </c>
      <c r="D50">
        <f t="shared" si="0"/>
        <v>77166.866666666625</v>
      </c>
      <c r="E50">
        <f t="shared" si="1"/>
        <v>538707.03940000001</v>
      </c>
      <c r="F50">
        <f t="shared" si="2"/>
        <v>14.324458568912219</v>
      </c>
      <c r="G50">
        <f t="shared" si="3"/>
        <v>13.860290094905409</v>
      </c>
      <c r="H50">
        <f t="shared" si="4"/>
        <v>0.46416847400680972</v>
      </c>
    </row>
    <row r="51" spans="1:8" x14ac:dyDescent="0.25">
      <c r="A51" s="1">
        <v>43344</v>
      </c>
      <c r="B51">
        <v>80180.633333333302</v>
      </c>
      <c r="C51">
        <v>136449.39689999999</v>
      </c>
      <c r="D51">
        <f t="shared" si="0"/>
        <v>78328.433333333305</v>
      </c>
      <c r="E51">
        <f t="shared" si="1"/>
        <v>544864.7672</v>
      </c>
      <c r="F51">
        <f t="shared" si="2"/>
        <v>14.375756710395221</v>
      </c>
      <c r="G51">
        <f t="shared" si="3"/>
        <v>14.091457119945202</v>
      </c>
      <c r="H51">
        <f t="shared" si="4"/>
        <v>0.28429959045001851</v>
      </c>
    </row>
    <row r="52" spans="1:8" x14ac:dyDescent="0.25">
      <c r="A52" s="1">
        <v>43435</v>
      </c>
      <c r="B52">
        <v>84383.066666666593</v>
      </c>
      <c r="C52">
        <v>143385.93770000001</v>
      </c>
      <c r="D52">
        <f t="shared" si="0"/>
        <v>80128.341666666616</v>
      </c>
      <c r="E52">
        <f t="shared" si="1"/>
        <v>551368.0821</v>
      </c>
      <c r="F52">
        <f t="shared" si="2"/>
        <v>14.532640584032569</v>
      </c>
      <c r="G52">
        <f t="shared" si="3"/>
        <v>14.255259763661497</v>
      </c>
      <c r="H52">
        <f t="shared" si="4"/>
        <v>0.27738082037107148</v>
      </c>
    </row>
    <row r="53" spans="1:8" x14ac:dyDescent="0.25">
      <c r="A53" s="1">
        <v>43525</v>
      </c>
      <c r="B53">
        <v>82196.433333333305</v>
      </c>
      <c r="C53">
        <v>144940.7132</v>
      </c>
      <c r="D53">
        <f t="shared" si="0"/>
        <v>81257.366666666625</v>
      </c>
      <c r="E53">
        <f t="shared" si="1"/>
        <v>559363.66079999995</v>
      </c>
      <c r="F53">
        <f t="shared" si="2"/>
        <v>14.526751085412418</v>
      </c>
      <c r="G53">
        <f t="shared" si="3"/>
        <v>14.382435331172891</v>
      </c>
      <c r="H53">
        <f t="shared" si="4"/>
        <v>0.14431575423952658</v>
      </c>
    </row>
    <row r="54" spans="1:8" x14ac:dyDescent="0.25">
      <c r="A54" s="1">
        <v>43617</v>
      </c>
      <c r="B54">
        <v>86403.266666666605</v>
      </c>
      <c r="C54">
        <v>145359.22760000001</v>
      </c>
      <c r="D54">
        <f t="shared" si="0"/>
        <v>83290.849999999948</v>
      </c>
      <c r="E54">
        <f t="shared" si="1"/>
        <v>570135.27540000004</v>
      </c>
      <c r="F54">
        <f t="shared" si="2"/>
        <v>14.608962748632608</v>
      </c>
      <c r="G54">
        <f t="shared" si="3"/>
        <v>14.439901737188105</v>
      </c>
      <c r="H54">
        <f t="shared" si="4"/>
        <v>0.16906101144450325</v>
      </c>
    </row>
    <row r="55" spans="1:8" x14ac:dyDescent="0.25">
      <c r="A55" s="1">
        <v>43709</v>
      </c>
      <c r="B55">
        <v>91556.933333333305</v>
      </c>
      <c r="C55">
        <v>147623.62040000001</v>
      </c>
      <c r="D55">
        <f t="shared" si="0"/>
        <v>86134.924999999945</v>
      </c>
      <c r="E55">
        <f t="shared" si="1"/>
        <v>581309.49890000001</v>
      </c>
      <c r="F55">
        <f t="shared" si="2"/>
        <v>14.817395064589739</v>
      </c>
      <c r="G55">
        <f t="shared" si="3"/>
        <v>14.511027782118203</v>
      </c>
      <c r="H55">
        <f t="shared" si="4"/>
        <v>0.30636728247153577</v>
      </c>
    </row>
    <row r="56" spans="1:8" x14ac:dyDescent="0.25">
      <c r="A56" s="1">
        <v>43800</v>
      </c>
      <c r="B56">
        <v>91270.466666666602</v>
      </c>
      <c r="C56">
        <v>156048.45860000001</v>
      </c>
      <c r="D56">
        <f t="shared" si="0"/>
        <v>87856.774999999951</v>
      </c>
      <c r="E56">
        <f t="shared" si="1"/>
        <v>593972.01980000001</v>
      </c>
      <c r="F56">
        <f t="shared" si="2"/>
        <v>14.791399606598093</v>
      </c>
      <c r="G56">
        <f t="shared" si="3"/>
        <v>14.621437370666833</v>
      </c>
      <c r="H56">
        <f t="shared" si="4"/>
        <v>0.16996223593126025</v>
      </c>
    </row>
    <row r="57" spans="1:8" x14ac:dyDescent="0.25">
      <c r="A57" s="1">
        <v>43891</v>
      </c>
      <c r="B57">
        <v>89407.066666666593</v>
      </c>
      <c r="C57">
        <v>151214.1966</v>
      </c>
      <c r="D57">
        <f t="shared" si="0"/>
        <v>89659.433333333276</v>
      </c>
      <c r="E57">
        <f t="shared" si="1"/>
        <v>600245.50320000004</v>
      </c>
      <c r="F57">
        <f t="shared" si="2"/>
        <v>14.937127034745817</v>
      </c>
      <c r="G57">
        <f t="shared" si="3"/>
        <v>14.686127126308214</v>
      </c>
      <c r="H57">
        <f t="shared" si="4"/>
        <v>0.25099990843760267</v>
      </c>
    </row>
    <row r="58" spans="1:8" x14ac:dyDescent="0.25">
      <c r="A58" s="1">
        <v>43983</v>
      </c>
      <c r="B58">
        <v>105725.2</v>
      </c>
      <c r="C58">
        <v>136507.745</v>
      </c>
      <c r="D58">
        <f t="shared" si="0"/>
        <v>94489.916666666628</v>
      </c>
      <c r="E58">
        <f t="shared" si="1"/>
        <v>591394.02060000005</v>
      </c>
      <c r="F58">
        <f t="shared" si="2"/>
        <v>15.97748935148206</v>
      </c>
      <c r="G58">
        <f t="shared" si="3"/>
        <v>14.788721113641564</v>
      </c>
      <c r="H58">
        <f t="shared" si="4"/>
        <v>1.1887682378404953</v>
      </c>
    </row>
    <row r="59" spans="1:8" x14ac:dyDescent="0.25">
      <c r="A59" s="1">
        <v>44075</v>
      </c>
      <c r="B59">
        <v>106625.33333333299</v>
      </c>
      <c r="C59">
        <v>150128.76259999999</v>
      </c>
      <c r="D59">
        <f t="shared" si="0"/>
        <v>98257.016666666546</v>
      </c>
      <c r="E59">
        <f t="shared" si="1"/>
        <v>593899.16280000005</v>
      </c>
      <c r="F59">
        <f t="shared" si="2"/>
        <v>16.544393867036874</v>
      </c>
      <c r="G59">
        <f t="shared" si="3"/>
        <v>15.130852764353929</v>
      </c>
      <c r="H59">
        <f t="shared" si="4"/>
        <v>1.4135411026829452</v>
      </c>
    </row>
    <row r="60" spans="1:8" x14ac:dyDescent="0.25">
      <c r="A60" s="1">
        <v>44166</v>
      </c>
      <c r="B60">
        <v>105612.3</v>
      </c>
      <c r="C60">
        <v>162271.79670000001</v>
      </c>
      <c r="D60">
        <f t="shared" si="0"/>
        <v>101842.4749999999</v>
      </c>
      <c r="E60">
        <f t="shared" si="1"/>
        <v>600122.5009000001</v>
      </c>
      <c r="F60">
        <f t="shared" si="2"/>
        <v>16.970281042165116</v>
      </c>
      <c r="G60">
        <f t="shared" si="3"/>
        <v>15.56260246496571</v>
      </c>
      <c r="H60">
        <f t="shared" si="4"/>
        <v>1.4076785771994054</v>
      </c>
    </row>
    <row r="61" spans="1:8" x14ac:dyDescent="0.25">
      <c r="A61" s="1">
        <v>44256</v>
      </c>
      <c r="B61">
        <v>102612.03333333301</v>
      </c>
      <c r="C61">
        <v>162670.38089999999</v>
      </c>
      <c r="D61">
        <f t="shared" si="0"/>
        <v>105143.7166666665</v>
      </c>
      <c r="E61">
        <f t="shared" si="1"/>
        <v>611578.68519999995</v>
      </c>
      <c r="F61">
        <f t="shared" si="2"/>
        <v>17.192181351493986</v>
      </c>
      <c r="G61">
        <f t="shared" si="3"/>
        <v>16.107322823857466</v>
      </c>
      <c r="H61">
        <f t="shared" si="4"/>
        <v>1.0848585276365199</v>
      </c>
    </row>
    <row r="62" spans="1:8" x14ac:dyDescent="0.25">
      <c r="A62" s="1">
        <v>44348</v>
      </c>
      <c r="B62">
        <v>111188.633333333</v>
      </c>
      <c r="C62">
        <v>161775.4712</v>
      </c>
      <c r="D62">
        <f t="shared" si="0"/>
        <v>106509.57499999976</v>
      </c>
      <c r="E62">
        <f t="shared" si="1"/>
        <v>636846.41139999998</v>
      </c>
      <c r="F62">
        <f t="shared" si="2"/>
        <v>16.724530921962224</v>
      </c>
      <c r="G62">
        <f t="shared" si="3"/>
        <v>16.671086403044509</v>
      </c>
      <c r="H62">
        <f t="shared" si="4"/>
        <v>5.3444518917714845E-2</v>
      </c>
    </row>
    <row r="63" spans="1:8" x14ac:dyDescent="0.25">
      <c r="A63" s="1">
        <v>44440</v>
      </c>
      <c r="B63">
        <v>114210.4</v>
      </c>
      <c r="C63">
        <v>167039.88200000001</v>
      </c>
      <c r="D63">
        <f t="shared" si="0"/>
        <v>108405.8416666665</v>
      </c>
      <c r="E63">
        <f t="shared" si="1"/>
        <v>653757.53079999995</v>
      </c>
      <c r="F63">
        <f t="shared" si="2"/>
        <v>16.581964498980348</v>
      </c>
      <c r="G63">
        <f t="shared" si="3"/>
        <v>16.85784679566455</v>
      </c>
      <c r="H63">
        <f t="shared" si="4"/>
        <v>-0.27588229668420183</v>
      </c>
    </row>
    <row r="64" spans="1:8" x14ac:dyDescent="0.25">
      <c r="A64" s="1">
        <v>44531</v>
      </c>
      <c r="B64">
        <v>127655.76666666599</v>
      </c>
      <c r="C64">
        <v>177194.8</v>
      </c>
      <c r="D64">
        <f t="shared" si="0"/>
        <v>113916.70833333299</v>
      </c>
      <c r="E64">
        <f t="shared" si="1"/>
        <v>668680.53410000005</v>
      </c>
      <c r="F64">
        <f t="shared" si="2"/>
        <v>17.036043749450158</v>
      </c>
      <c r="G64">
        <f t="shared" si="3"/>
        <v>16.86723945365042</v>
      </c>
      <c r="H64">
        <f t="shared" si="4"/>
        <v>0.16880429579973821</v>
      </c>
    </row>
    <row r="65" spans="1:8" x14ac:dyDescent="0.25">
      <c r="A65" s="1">
        <v>44621</v>
      </c>
      <c r="B65">
        <v>125147.76666666599</v>
      </c>
      <c r="C65">
        <v>179250.9418</v>
      </c>
      <c r="D65">
        <f t="shared" si="0"/>
        <v>119550.64166666626</v>
      </c>
      <c r="E65">
        <f t="shared" si="1"/>
        <v>685261.09499999997</v>
      </c>
      <c r="F65">
        <f t="shared" si="2"/>
        <v>17.44599869144275</v>
      </c>
      <c r="G65">
        <f t="shared" si="3"/>
        <v>16.883680130471681</v>
      </c>
      <c r="H65">
        <f t="shared" si="4"/>
        <v>0.56231856097106814</v>
      </c>
    </row>
    <row r="66" spans="1:8" x14ac:dyDescent="0.25">
      <c r="A66" s="1">
        <v>44713</v>
      </c>
      <c r="B66">
        <v>129131.96666666601</v>
      </c>
      <c r="C66">
        <v>179675.77069999999</v>
      </c>
      <c r="D66">
        <f t="shared" si="0"/>
        <v>124036.47499999948</v>
      </c>
      <c r="E66">
        <f t="shared" si="1"/>
        <v>703161.39450000005</v>
      </c>
      <c r="F66">
        <f t="shared" si="2"/>
        <v>17.639830054691586</v>
      </c>
      <c r="G66">
        <f t="shared" si="3"/>
        <v>16.94713446545887</v>
      </c>
      <c r="H66">
        <f t="shared" si="4"/>
        <v>0.69269558923271646</v>
      </c>
    </row>
    <row r="67" spans="1:8" x14ac:dyDescent="0.25">
      <c r="A67" s="1">
        <v>44805</v>
      </c>
      <c r="B67">
        <v>134207.03333333301</v>
      </c>
      <c r="C67">
        <v>185671.34729999999</v>
      </c>
      <c r="D67">
        <f t="shared" si="0"/>
        <v>129035.63333333275</v>
      </c>
      <c r="E67">
        <f t="shared" si="1"/>
        <v>721792.85979999998</v>
      </c>
      <c r="F67">
        <f t="shared" si="2"/>
        <v>17.877100276260276</v>
      </c>
      <c r="G67">
        <f t="shared" si="3"/>
        <v>17.17595924864121</v>
      </c>
      <c r="H67">
        <f t="shared" si="4"/>
        <v>0.70114102761906594</v>
      </c>
    </row>
    <row r="68" spans="1:8" x14ac:dyDescent="0.25">
      <c r="A68" s="1">
        <v>44896</v>
      </c>
      <c r="B68">
        <v>139129.53333333301</v>
      </c>
      <c r="C68">
        <v>196455.16329999999</v>
      </c>
      <c r="D68">
        <f t="shared" si="0"/>
        <v>131904.07499999949</v>
      </c>
      <c r="E68">
        <f t="shared" si="1"/>
        <v>741053.22310000006</v>
      </c>
      <c r="F68">
        <f t="shared" si="2"/>
        <v>17.799541367381643</v>
      </c>
      <c r="G68">
        <f t="shared" si="3"/>
        <v>17.499743192961194</v>
      </c>
      <c r="H68">
        <f t="shared" si="4"/>
        <v>0.29979817442044876</v>
      </c>
    </row>
    <row r="69" spans="1:8" x14ac:dyDescent="0.25">
      <c r="A69" s="1">
        <v>44986</v>
      </c>
      <c r="B69">
        <v>135304.06666666601</v>
      </c>
      <c r="C69">
        <v>200604.59779999999</v>
      </c>
      <c r="D69">
        <f t="shared" si="0"/>
        <v>134443.1499999995</v>
      </c>
      <c r="E69">
        <f t="shared" si="1"/>
        <v>762406.87910000002</v>
      </c>
      <c r="F69">
        <f t="shared" si="2"/>
        <v>17.634042095567903</v>
      </c>
      <c r="G69">
        <f t="shared" si="3"/>
        <v>17.690617597444067</v>
      </c>
      <c r="H69">
        <f t="shared" si="4"/>
        <v>-5.6575501876164225E-2</v>
      </c>
    </row>
    <row r="70" spans="1:8" x14ac:dyDescent="0.25">
      <c r="A70" s="1">
        <v>45078</v>
      </c>
      <c r="B70">
        <v>137606.33333333299</v>
      </c>
      <c r="C70">
        <v>200381.2867</v>
      </c>
      <c r="D70">
        <f t="shared" ref="D70:D79" si="5">AVERAGE(B67:B70)</f>
        <v>136561.74166666626</v>
      </c>
      <c r="E70">
        <f t="shared" ref="E70:E79" si="6">SUM(C67:C70)</f>
        <v>783112.39510000008</v>
      </c>
      <c r="F70">
        <f t="shared" ref="F70:F79" si="7">(D70/E70)*100</f>
        <v>17.438332290632168</v>
      </c>
      <c r="G70">
        <f t="shared" si="3"/>
        <v>17.737628448475352</v>
      </c>
      <c r="H70">
        <f t="shared" si="4"/>
        <v>-0.29929615784318386</v>
      </c>
    </row>
    <row r="71" spans="1:8" x14ac:dyDescent="0.25">
      <c r="A71" s="1">
        <v>45170</v>
      </c>
      <c r="B71">
        <v>137983.29999999999</v>
      </c>
      <c r="C71">
        <v>203473.8854</v>
      </c>
      <c r="D71">
        <f t="shared" si="5"/>
        <v>137505.808333333</v>
      </c>
      <c r="E71">
        <f t="shared" si="6"/>
        <v>800914.93320000009</v>
      </c>
      <c r="F71">
        <f t="shared" si="7"/>
        <v>17.168590899402773</v>
      </c>
      <c r="G71">
        <f t="shared" si="3"/>
        <v>17.687254007460496</v>
      </c>
      <c r="H71">
        <f t="shared" si="4"/>
        <v>-0.51866310805772287</v>
      </c>
    </row>
    <row r="72" spans="1:8" x14ac:dyDescent="0.25">
      <c r="A72" s="1">
        <v>45261</v>
      </c>
      <c r="B72">
        <v>148429.9</v>
      </c>
      <c r="C72">
        <v>212953.65150000001</v>
      </c>
      <c r="D72">
        <f t="shared" si="5"/>
        <v>139830.89999999973</v>
      </c>
      <c r="E72">
        <f t="shared" si="6"/>
        <v>817413.42139999999</v>
      </c>
      <c r="F72">
        <f t="shared" si="7"/>
        <v>17.10650893895388</v>
      </c>
      <c r="G72">
        <f t="shared" si="3"/>
        <v>17.510126663246119</v>
      </c>
      <c r="H72">
        <f t="shared" si="4"/>
        <v>-0.40361772429223919</v>
      </c>
    </row>
    <row r="73" spans="1:8" x14ac:dyDescent="0.25">
      <c r="A73" s="1">
        <v>45352</v>
      </c>
      <c r="B73">
        <v>148643.33333333299</v>
      </c>
      <c r="C73">
        <v>214033.10399999999</v>
      </c>
      <c r="D73">
        <f t="shared" si="5"/>
        <v>143165.7166666665</v>
      </c>
      <c r="E73">
        <f t="shared" si="6"/>
        <v>830841.92760000005</v>
      </c>
      <c r="F73">
        <f t="shared" si="7"/>
        <v>17.231402497972166</v>
      </c>
      <c r="G73">
        <f t="shared" si="3"/>
        <v>17.33686855613918</v>
      </c>
      <c r="H73">
        <f t="shared" si="4"/>
        <v>-0.10546605816701415</v>
      </c>
    </row>
    <row r="74" spans="1:8" x14ac:dyDescent="0.25">
      <c r="A74" s="1">
        <v>45444</v>
      </c>
      <c r="B74">
        <v>150657.13333333301</v>
      </c>
      <c r="C74">
        <v>213508.29639999999</v>
      </c>
      <c r="D74">
        <f t="shared" si="5"/>
        <v>146428.41666666651</v>
      </c>
      <c r="E74">
        <f t="shared" si="6"/>
        <v>843968.93729999999</v>
      </c>
      <c r="F74">
        <f t="shared" si="7"/>
        <v>17.349977018717759</v>
      </c>
      <c r="G74">
        <f t="shared" ref="G74:G79" si="8">AVERAGE(F70:F73)</f>
        <v>17.236208656740246</v>
      </c>
      <c r="H74">
        <f t="shared" ref="H74:H79" si="9">F74-G74</f>
        <v>0.11376836197751317</v>
      </c>
    </row>
    <row r="75" spans="1:8" x14ac:dyDescent="0.25">
      <c r="A75" s="1">
        <v>45536</v>
      </c>
      <c r="B75">
        <v>162390.66666666599</v>
      </c>
      <c r="C75">
        <v>219181.96220000001</v>
      </c>
      <c r="D75">
        <f t="shared" si="5"/>
        <v>152530.25833333301</v>
      </c>
      <c r="E75">
        <f t="shared" si="6"/>
        <v>859677.01410000003</v>
      </c>
      <c r="F75">
        <f t="shared" si="7"/>
        <v>17.742740102574182</v>
      </c>
      <c r="G75">
        <f t="shared" si="8"/>
        <v>17.214119838761647</v>
      </c>
      <c r="H75">
        <f t="shared" si="9"/>
        <v>0.52862026381253457</v>
      </c>
    </row>
    <row r="76" spans="1:8" x14ac:dyDescent="0.25">
      <c r="A76" s="1">
        <v>45627</v>
      </c>
      <c r="B76">
        <v>165603.03333333301</v>
      </c>
      <c r="C76">
        <v>231539.9382</v>
      </c>
      <c r="D76">
        <f t="shared" si="5"/>
        <v>156823.54166666625</v>
      </c>
      <c r="E76">
        <f t="shared" si="6"/>
        <v>878263.30079999997</v>
      </c>
      <c r="F76">
        <f t="shared" si="7"/>
        <v>17.856096403415407</v>
      </c>
      <c r="G76">
        <f t="shared" si="8"/>
        <v>17.357657139554497</v>
      </c>
      <c r="H76">
        <f t="shared" si="9"/>
        <v>0.49843926386090942</v>
      </c>
    </row>
    <row r="77" spans="1:8" x14ac:dyDescent="0.25">
      <c r="A77" s="1">
        <v>45717</v>
      </c>
      <c r="B77">
        <v>163742.03333333301</v>
      </c>
      <c r="C77">
        <v>231004.36369999999</v>
      </c>
      <c r="D77">
        <f t="shared" si="5"/>
        <v>160598.21666666624</v>
      </c>
      <c r="E77">
        <f t="shared" si="6"/>
        <v>895234.56050000002</v>
      </c>
      <c r="F77">
        <f t="shared" si="7"/>
        <v>17.939233330868063</v>
      </c>
      <c r="G77">
        <f t="shared" si="8"/>
        <v>17.545054005669876</v>
      </c>
      <c r="H77">
        <f t="shared" si="9"/>
        <v>0.39417932519818777</v>
      </c>
    </row>
    <row r="78" spans="1:8" x14ac:dyDescent="0.25">
      <c r="A78" s="1">
        <v>45809</v>
      </c>
      <c r="B78">
        <v>179926.96666666601</v>
      </c>
      <c r="C78">
        <v>231094.42509999999</v>
      </c>
      <c r="D78">
        <f t="shared" si="5"/>
        <v>167915.67499999949</v>
      </c>
      <c r="E78">
        <f t="shared" si="6"/>
        <v>912820.68920000002</v>
      </c>
      <c r="F78">
        <f t="shared" si="7"/>
        <v>18.395252976481231</v>
      </c>
      <c r="G78">
        <f t="shared" si="8"/>
        <v>17.722011713893853</v>
      </c>
      <c r="H78">
        <f t="shared" si="9"/>
        <v>0.67324126258737849</v>
      </c>
    </row>
    <row r="79" spans="1:8" x14ac:dyDescent="0.25">
      <c r="A79" s="1">
        <v>45901</v>
      </c>
      <c r="B79">
        <v>189796.03333333301</v>
      </c>
      <c r="C79">
        <v>234696.03409999999</v>
      </c>
      <c r="D79">
        <f t="shared" si="5"/>
        <v>174767.01666666626</v>
      </c>
      <c r="E79">
        <f t="shared" si="6"/>
        <v>928334.7611</v>
      </c>
      <c r="F79">
        <f t="shared" si="7"/>
        <v>18.825861530767391</v>
      </c>
      <c r="G79">
        <f t="shared" si="8"/>
        <v>17.983330703334723</v>
      </c>
      <c r="H79">
        <f t="shared" si="9"/>
        <v>0.84253082743266816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9"/>
  <sheetViews>
    <sheetView topLeftCell="A43" workbookViewId="0">
      <selection activeCell="D13" sqref="D13:D79"/>
    </sheetView>
  </sheetViews>
  <sheetFormatPr baseColWidth="10" defaultRowHeight="15" x14ac:dyDescent="0.25"/>
  <sheetData>
    <row r="1" spans="1:4" x14ac:dyDescent="0.25">
      <c r="A1" t="s">
        <v>0</v>
      </c>
      <c r="B1" t="s">
        <v>10</v>
      </c>
      <c r="C1" t="str">
        <f>_xlfn.CONCAT(B1,"MV")</f>
        <v>iMV</v>
      </c>
      <c r="D1" t="s">
        <v>25</v>
      </c>
    </row>
    <row r="2" spans="1:4" x14ac:dyDescent="0.25">
      <c r="A2" s="1">
        <v>38869</v>
      </c>
      <c r="B2">
        <v>4.4515151516666602</v>
      </c>
    </row>
    <row r="3" spans="1:4" x14ac:dyDescent="0.25">
      <c r="A3" s="1">
        <v>38961</v>
      </c>
      <c r="B3">
        <v>4.9285714286666602</v>
      </c>
    </row>
    <row r="4" spans="1:4" x14ac:dyDescent="0.25">
      <c r="A4" s="1">
        <v>39052</v>
      </c>
      <c r="B4">
        <v>5</v>
      </c>
    </row>
    <row r="5" spans="1:4" x14ac:dyDescent="0.25">
      <c r="A5" s="1">
        <v>39142</v>
      </c>
      <c r="B5">
        <v>5.0075757576666602</v>
      </c>
    </row>
    <row r="6" spans="1:4" x14ac:dyDescent="0.25">
      <c r="A6" s="1">
        <v>39234</v>
      </c>
      <c r="B6">
        <v>5.4285714286666602</v>
      </c>
      <c r="C6">
        <f>AVERAGE(B2:B5)</f>
        <v>4.8469155844999952</v>
      </c>
      <c r="D6">
        <f>B6-C6</f>
        <v>0.58165584416666505</v>
      </c>
    </row>
    <row r="7" spans="1:4" x14ac:dyDescent="0.25">
      <c r="A7" s="1">
        <v>39326</v>
      </c>
      <c r="B7">
        <v>5.5083333333333302</v>
      </c>
      <c r="C7">
        <f t="shared" ref="C7:C70" si="0">AVERAGE(B3:B6)</f>
        <v>5.0911796537499958</v>
      </c>
      <c r="D7">
        <f t="shared" ref="D7:D70" si="1">B7-C7</f>
        <v>0.41715367958333438</v>
      </c>
    </row>
    <row r="8" spans="1:4" x14ac:dyDescent="0.25">
      <c r="A8" s="1">
        <v>39417</v>
      </c>
      <c r="B8">
        <v>6.0156926406666598</v>
      </c>
      <c r="C8">
        <f t="shared" si="0"/>
        <v>5.2361201299166629</v>
      </c>
      <c r="D8">
        <f t="shared" si="1"/>
        <v>0.77957251074999689</v>
      </c>
    </row>
    <row r="9" spans="1:4" x14ac:dyDescent="0.25">
      <c r="A9" s="1">
        <v>39508</v>
      </c>
      <c r="B9">
        <v>6.5119047620000003</v>
      </c>
      <c r="C9">
        <f t="shared" si="0"/>
        <v>5.490043290083328</v>
      </c>
      <c r="D9">
        <f t="shared" si="1"/>
        <v>1.0218614719166723</v>
      </c>
    </row>
    <row r="10" spans="1:4" x14ac:dyDescent="0.25">
      <c r="A10" s="1">
        <v>39600</v>
      </c>
      <c r="B10">
        <v>6.75</v>
      </c>
      <c r="C10">
        <f t="shared" si="0"/>
        <v>5.8661255411666628</v>
      </c>
      <c r="D10">
        <f t="shared" si="1"/>
        <v>0.88387445883333715</v>
      </c>
    </row>
    <row r="11" spans="1:4" x14ac:dyDescent="0.25">
      <c r="A11" s="1">
        <v>39692</v>
      </c>
      <c r="B11">
        <v>7.1268115943333301</v>
      </c>
      <c r="C11">
        <f t="shared" si="0"/>
        <v>6.1964826839999976</v>
      </c>
      <c r="D11">
        <f t="shared" si="1"/>
        <v>0.93032891033333254</v>
      </c>
    </row>
    <row r="12" spans="1:4" x14ac:dyDescent="0.25">
      <c r="A12" s="1">
        <v>39783</v>
      </c>
      <c r="B12">
        <v>7.25</v>
      </c>
      <c r="C12">
        <f t="shared" si="0"/>
        <v>6.6011022492499976</v>
      </c>
      <c r="D12">
        <f t="shared" si="1"/>
        <v>0.64889775075000244</v>
      </c>
    </row>
    <row r="13" spans="1:4" x14ac:dyDescent="0.25">
      <c r="A13" s="1">
        <v>39873</v>
      </c>
      <c r="B13">
        <v>6.8772727273333301</v>
      </c>
      <c r="C13">
        <f t="shared" si="0"/>
        <v>6.9096790890833324</v>
      </c>
      <c r="D13">
        <f t="shared" si="1"/>
        <v>-3.2406361750002333E-2</v>
      </c>
    </row>
    <row r="14" spans="1:4" x14ac:dyDescent="0.25">
      <c r="A14" s="1">
        <v>39965</v>
      </c>
      <c r="B14">
        <v>5.8030303029999999</v>
      </c>
      <c r="C14">
        <f t="shared" si="0"/>
        <v>7.001021080416665</v>
      </c>
      <c r="D14">
        <f t="shared" si="1"/>
        <v>-1.1979907774166652</v>
      </c>
    </row>
    <row r="15" spans="1:4" x14ac:dyDescent="0.25">
      <c r="A15" s="1">
        <v>40057</v>
      </c>
      <c r="B15">
        <v>4.8642951249999902</v>
      </c>
      <c r="C15">
        <f t="shared" si="0"/>
        <v>6.764278656166665</v>
      </c>
      <c r="D15">
        <f t="shared" si="1"/>
        <v>-1.8999835311666748</v>
      </c>
    </row>
    <row r="16" spans="1:4" x14ac:dyDescent="0.25">
      <c r="A16" s="1">
        <v>40148</v>
      </c>
      <c r="B16">
        <v>4.5</v>
      </c>
      <c r="C16">
        <f t="shared" si="0"/>
        <v>6.1986495388333305</v>
      </c>
      <c r="D16">
        <f t="shared" si="1"/>
        <v>-1.6986495388333305</v>
      </c>
    </row>
    <row r="17" spans="1:4" x14ac:dyDescent="0.25">
      <c r="A17" s="1">
        <v>40238</v>
      </c>
      <c r="B17">
        <v>4.5</v>
      </c>
      <c r="C17">
        <f t="shared" si="0"/>
        <v>5.5111495388333305</v>
      </c>
      <c r="D17">
        <f t="shared" si="1"/>
        <v>-1.0111495388333305</v>
      </c>
    </row>
    <row r="18" spans="1:4" x14ac:dyDescent="0.25">
      <c r="A18" s="1">
        <v>40330</v>
      </c>
      <c r="B18">
        <v>4.5</v>
      </c>
      <c r="C18">
        <f t="shared" si="0"/>
        <v>4.9168313569999977</v>
      </c>
      <c r="D18">
        <f t="shared" si="1"/>
        <v>-0.41683135699999774</v>
      </c>
    </row>
    <row r="19" spans="1:4" x14ac:dyDescent="0.25">
      <c r="A19" s="1">
        <v>40422</v>
      </c>
      <c r="B19">
        <v>4.5</v>
      </c>
      <c r="C19">
        <f t="shared" si="0"/>
        <v>4.5910737812499978</v>
      </c>
      <c r="D19">
        <f t="shared" si="1"/>
        <v>-9.1073781249997765E-2</v>
      </c>
    </row>
    <row r="20" spans="1:4" x14ac:dyDescent="0.25">
      <c r="A20" s="1">
        <v>40513</v>
      </c>
      <c r="B20">
        <v>4.5</v>
      </c>
      <c r="C20">
        <f t="shared" si="0"/>
        <v>4.5</v>
      </c>
      <c r="D20">
        <f t="shared" si="1"/>
        <v>0</v>
      </c>
    </row>
    <row r="21" spans="1:4" x14ac:dyDescent="0.25">
      <c r="A21" s="1">
        <v>40603</v>
      </c>
      <c r="B21">
        <v>4.5</v>
      </c>
      <c r="C21">
        <f t="shared" si="0"/>
        <v>4.5</v>
      </c>
      <c r="D21">
        <f t="shared" si="1"/>
        <v>0</v>
      </c>
    </row>
    <row r="22" spans="1:4" x14ac:dyDescent="0.25">
      <c r="A22" s="1">
        <v>40695</v>
      </c>
      <c r="B22">
        <v>4.75</v>
      </c>
      <c r="C22">
        <f t="shared" si="0"/>
        <v>4.5</v>
      </c>
      <c r="D22">
        <f t="shared" si="1"/>
        <v>0.25</v>
      </c>
    </row>
    <row r="23" spans="1:4" x14ac:dyDescent="0.25">
      <c r="A23" s="1">
        <v>40787</v>
      </c>
      <c r="B23">
        <v>4.9166666666666599</v>
      </c>
      <c r="C23">
        <f t="shared" si="0"/>
        <v>4.5625</v>
      </c>
      <c r="D23">
        <f t="shared" si="1"/>
        <v>0.35416666666665986</v>
      </c>
    </row>
    <row r="24" spans="1:4" x14ac:dyDescent="0.25">
      <c r="A24" s="1">
        <v>40878</v>
      </c>
      <c r="B24">
        <v>5.5</v>
      </c>
      <c r="C24">
        <f t="shared" si="0"/>
        <v>4.6666666666666652</v>
      </c>
      <c r="D24">
        <f t="shared" si="1"/>
        <v>0.83333333333333481</v>
      </c>
    </row>
    <row r="25" spans="1:4" x14ac:dyDescent="0.25">
      <c r="A25" s="1">
        <v>40969</v>
      </c>
      <c r="B25">
        <v>5.5</v>
      </c>
      <c r="C25">
        <f t="shared" si="0"/>
        <v>4.9166666666666652</v>
      </c>
      <c r="D25">
        <f t="shared" si="1"/>
        <v>0.58333333333333481</v>
      </c>
    </row>
    <row r="26" spans="1:4" x14ac:dyDescent="0.25">
      <c r="A26" s="1">
        <v>41061</v>
      </c>
      <c r="B26">
        <v>5.5</v>
      </c>
      <c r="C26">
        <f t="shared" si="0"/>
        <v>5.1666666666666652</v>
      </c>
      <c r="D26">
        <f t="shared" si="1"/>
        <v>0.33333333333333481</v>
      </c>
    </row>
    <row r="27" spans="1:4" x14ac:dyDescent="0.25">
      <c r="A27" s="1">
        <v>41153</v>
      </c>
      <c r="B27">
        <v>5</v>
      </c>
      <c r="C27">
        <f t="shared" si="0"/>
        <v>5.3541666666666652</v>
      </c>
      <c r="D27">
        <f t="shared" si="1"/>
        <v>-0.35416666666666519</v>
      </c>
    </row>
    <row r="28" spans="1:4" x14ac:dyDescent="0.25">
      <c r="A28" s="1">
        <v>41244</v>
      </c>
      <c r="B28">
        <v>5</v>
      </c>
      <c r="C28">
        <f t="shared" si="0"/>
        <v>5.375</v>
      </c>
      <c r="D28">
        <f t="shared" si="1"/>
        <v>-0.375</v>
      </c>
    </row>
    <row r="29" spans="1:4" x14ac:dyDescent="0.25">
      <c r="A29" s="1">
        <v>41334</v>
      </c>
      <c r="B29">
        <v>5</v>
      </c>
      <c r="C29">
        <f t="shared" si="0"/>
        <v>5.25</v>
      </c>
      <c r="D29">
        <f t="shared" si="1"/>
        <v>-0.25</v>
      </c>
    </row>
    <row r="30" spans="1:4" x14ac:dyDescent="0.25">
      <c r="A30" s="1">
        <v>41426</v>
      </c>
      <c r="B30">
        <v>5.25</v>
      </c>
      <c r="C30">
        <f t="shared" si="0"/>
        <v>5.125</v>
      </c>
      <c r="D30">
        <f t="shared" si="1"/>
        <v>0.125</v>
      </c>
    </row>
    <row r="31" spans="1:4" x14ac:dyDescent="0.25">
      <c r="A31" s="1">
        <v>41518</v>
      </c>
      <c r="B31">
        <v>5.25</v>
      </c>
      <c r="C31">
        <f t="shared" si="0"/>
        <v>5.0625</v>
      </c>
      <c r="D31">
        <f t="shared" si="1"/>
        <v>0.1875</v>
      </c>
    </row>
    <row r="32" spans="1:4" x14ac:dyDescent="0.25">
      <c r="A32" s="1">
        <v>41609</v>
      </c>
      <c r="B32">
        <v>5</v>
      </c>
      <c r="C32">
        <f t="shared" si="0"/>
        <v>5.125</v>
      </c>
      <c r="D32">
        <f t="shared" si="1"/>
        <v>-0.125</v>
      </c>
    </row>
    <row r="33" spans="1:4" x14ac:dyDescent="0.25">
      <c r="A33" s="1">
        <v>41699</v>
      </c>
      <c r="B33">
        <v>5</v>
      </c>
      <c r="C33">
        <f t="shared" si="0"/>
        <v>5.125</v>
      </c>
      <c r="D33">
        <f t="shared" si="1"/>
        <v>-0.125</v>
      </c>
    </row>
    <row r="34" spans="1:4" x14ac:dyDescent="0.25">
      <c r="A34" s="1">
        <v>41791</v>
      </c>
      <c r="B34">
        <v>4.75</v>
      </c>
      <c r="C34">
        <f t="shared" si="0"/>
        <v>5.125</v>
      </c>
      <c r="D34">
        <f t="shared" si="1"/>
        <v>-0.375</v>
      </c>
    </row>
    <row r="35" spans="1:4" x14ac:dyDescent="0.25">
      <c r="A35" s="1">
        <v>41883</v>
      </c>
      <c r="B35">
        <v>4.5</v>
      </c>
      <c r="C35">
        <f t="shared" si="0"/>
        <v>5</v>
      </c>
      <c r="D35">
        <f t="shared" si="1"/>
        <v>-0.5</v>
      </c>
    </row>
    <row r="36" spans="1:4" x14ac:dyDescent="0.25">
      <c r="A36" s="1">
        <v>41974</v>
      </c>
      <c r="B36">
        <v>4.3333333333333304</v>
      </c>
      <c r="C36">
        <f t="shared" si="0"/>
        <v>4.8125</v>
      </c>
      <c r="D36">
        <f t="shared" si="1"/>
        <v>-0.47916666666666963</v>
      </c>
    </row>
    <row r="37" spans="1:4" x14ac:dyDescent="0.25">
      <c r="A37" s="1">
        <v>42064</v>
      </c>
      <c r="B37">
        <v>3.8333333333333299</v>
      </c>
      <c r="C37">
        <f t="shared" si="0"/>
        <v>4.6458333333333321</v>
      </c>
      <c r="D37">
        <f t="shared" si="1"/>
        <v>-0.81250000000000222</v>
      </c>
    </row>
    <row r="38" spans="1:4" x14ac:dyDescent="0.25">
      <c r="A38" s="1">
        <v>42156</v>
      </c>
      <c r="B38">
        <v>3.5</v>
      </c>
      <c r="C38">
        <f t="shared" si="0"/>
        <v>4.3541666666666652</v>
      </c>
      <c r="D38">
        <f t="shared" si="1"/>
        <v>-0.85416666666666519</v>
      </c>
    </row>
    <row r="39" spans="1:4" x14ac:dyDescent="0.25">
      <c r="A39" s="1">
        <v>42248</v>
      </c>
      <c r="B39">
        <v>3.25</v>
      </c>
      <c r="C39">
        <f t="shared" si="0"/>
        <v>4.0416666666666652</v>
      </c>
      <c r="D39">
        <f t="shared" si="1"/>
        <v>-0.79166666666666519</v>
      </c>
    </row>
    <row r="40" spans="1:4" x14ac:dyDescent="0.25">
      <c r="A40" s="1">
        <v>42339</v>
      </c>
      <c r="B40">
        <v>3</v>
      </c>
      <c r="C40">
        <f t="shared" si="0"/>
        <v>3.7291666666666652</v>
      </c>
      <c r="D40">
        <f t="shared" si="1"/>
        <v>-0.72916666666666519</v>
      </c>
    </row>
    <row r="41" spans="1:4" x14ac:dyDescent="0.25">
      <c r="A41" s="1">
        <v>42430</v>
      </c>
      <c r="B41">
        <v>3</v>
      </c>
      <c r="C41">
        <f t="shared" si="0"/>
        <v>3.3958333333333326</v>
      </c>
      <c r="D41">
        <f t="shared" si="1"/>
        <v>-0.39583333333333259</v>
      </c>
    </row>
    <row r="42" spans="1:4" x14ac:dyDescent="0.25">
      <c r="A42" s="1">
        <v>42522</v>
      </c>
      <c r="B42">
        <v>3</v>
      </c>
      <c r="C42">
        <f t="shared" si="0"/>
        <v>3.1875</v>
      </c>
      <c r="D42">
        <f t="shared" si="1"/>
        <v>-0.1875</v>
      </c>
    </row>
    <row r="43" spans="1:4" x14ac:dyDescent="0.25">
      <c r="A43" s="1">
        <v>42614</v>
      </c>
      <c r="B43">
        <v>3</v>
      </c>
      <c r="C43">
        <f t="shared" si="0"/>
        <v>3.0625</v>
      </c>
      <c r="D43">
        <f t="shared" si="1"/>
        <v>-6.25E-2</v>
      </c>
    </row>
    <row r="44" spans="1:4" x14ac:dyDescent="0.25">
      <c r="A44" s="1">
        <v>42705</v>
      </c>
      <c r="B44">
        <v>3</v>
      </c>
      <c r="C44">
        <f t="shared" si="0"/>
        <v>3</v>
      </c>
      <c r="D44">
        <f t="shared" si="1"/>
        <v>0</v>
      </c>
    </row>
    <row r="45" spans="1:4" x14ac:dyDescent="0.25">
      <c r="A45" s="1">
        <v>42795</v>
      </c>
      <c r="B45">
        <v>3</v>
      </c>
      <c r="C45">
        <f t="shared" si="0"/>
        <v>3</v>
      </c>
      <c r="D45">
        <f t="shared" si="1"/>
        <v>0</v>
      </c>
    </row>
    <row r="46" spans="1:4" x14ac:dyDescent="0.25">
      <c r="A46" s="1">
        <v>42887</v>
      </c>
      <c r="B46">
        <v>3</v>
      </c>
      <c r="C46">
        <f t="shared" si="0"/>
        <v>3</v>
      </c>
      <c r="D46">
        <f t="shared" si="1"/>
        <v>0</v>
      </c>
    </row>
    <row r="47" spans="1:4" x14ac:dyDescent="0.25">
      <c r="A47" s="1">
        <v>42979</v>
      </c>
      <c r="B47">
        <v>3</v>
      </c>
      <c r="C47">
        <f t="shared" si="0"/>
        <v>3</v>
      </c>
      <c r="D47">
        <f t="shared" si="1"/>
        <v>0</v>
      </c>
    </row>
    <row r="48" spans="1:4" x14ac:dyDescent="0.25">
      <c r="A48" s="1">
        <v>43070</v>
      </c>
      <c r="B48">
        <v>2.8333333333333299</v>
      </c>
      <c r="C48">
        <f t="shared" si="0"/>
        <v>3</v>
      </c>
      <c r="D48">
        <f t="shared" si="1"/>
        <v>-0.16666666666667007</v>
      </c>
    </row>
    <row r="49" spans="1:4" x14ac:dyDescent="0.25">
      <c r="A49" s="1">
        <v>43160</v>
      </c>
      <c r="B49">
        <v>2.75</v>
      </c>
      <c r="C49">
        <f t="shared" si="0"/>
        <v>2.9583333333333326</v>
      </c>
      <c r="D49">
        <f t="shared" si="1"/>
        <v>-0.20833333333333259</v>
      </c>
    </row>
    <row r="50" spans="1:4" x14ac:dyDescent="0.25">
      <c r="A50" s="1">
        <v>43252</v>
      </c>
      <c r="B50">
        <v>2.75</v>
      </c>
      <c r="C50">
        <f t="shared" si="0"/>
        <v>2.8958333333333326</v>
      </c>
      <c r="D50">
        <f t="shared" si="1"/>
        <v>-0.14583333333333259</v>
      </c>
    </row>
    <row r="51" spans="1:4" x14ac:dyDescent="0.25">
      <c r="A51" s="1">
        <v>43344</v>
      </c>
      <c r="B51">
        <v>2.75</v>
      </c>
      <c r="C51">
        <f t="shared" si="0"/>
        <v>2.8333333333333326</v>
      </c>
      <c r="D51">
        <f t="shared" si="1"/>
        <v>-8.3333333333332593E-2</v>
      </c>
    </row>
    <row r="52" spans="1:4" x14ac:dyDescent="0.25">
      <c r="A52" s="1">
        <v>43435</v>
      </c>
      <c r="B52">
        <v>2.75</v>
      </c>
      <c r="C52">
        <f t="shared" si="0"/>
        <v>2.7708333333333326</v>
      </c>
      <c r="D52">
        <f t="shared" si="1"/>
        <v>-2.0833333333332593E-2</v>
      </c>
    </row>
    <row r="53" spans="1:4" x14ac:dyDescent="0.25">
      <c r="A53" s="1">
        <v>43525</v>
      </c>
      <c r="B53">
        <v>2.75</v>
      </c>
      <c r="C53">
        <f t="shared" si="0"/>
        <v>2.75</v>
      </c>
      <c r="D53">
        <f t="shared" si="1"/>
        <v>0</v>
      </c>
    </row>
    <row r="54" spans="1:4" x14ac:dyDescent="0.25">
      <c r="A54" s="1">
        <v>43617</v>
      </c>
      <c r="B54">
        <v>2.75</v>
      </c>
      <c r="C54">
        <f t="shared" si="0"/>
        <v>2.75</v>
      </c>
      <c r="D54">
        <f t="shared" si="1"/>
        <v>0</v>
      </c>
    </row>
    <row r="55" spans="1:4" x14ac:dyDescent="0.25">
      <c r="A55" s="1">
        <v>43709</v>
      </c>
      <c r="B55">
        <v>2.75</v>
      </c>
      <c r="C55">
        <f t="shared" si="0"/>
        <v>2.75</v>
      </c>
      <c r="D55">
        <f t="shared" si="1"/>
        <v>0</v>
      </c>
    </row>
    <row r="56" spans="1:4" x14ac:dyDescent="0.25">
      <c r="A56" s="1">
        <v>43800</v>
      </c>
      <c r="B56">
        <v>2.75</v>
      </c>
      <c r="C56">
        <f t="shared" si="0"/>
        <v>2.75</v>
      </c>
      <c r="D56">
        <f t="shared" si="1"/>
        <v>0</v>
      </c>
    </row>
    <row r="57" spans="1:4" x14ac:dyDescent="0.25">
      <c r="A57" s="1">
        <v>43891</v>
      </c>
      <c r="B57">
        <v>2.75</v>
      </c>
      <c r="C57">
        <f t="shared" si="0"/>
        <v>2.75</v>
      </c>
      <c r="D57">
        <f t="shared" si="1"/>
        <v>0</v>
      </c>
    </row>
    <row r="58" spans="1:4" x14ac:dyDescent="0.25">
      <c r="A58" s="1">
        <v>43983</v>
      </c>
      <c r="B58">
        <v>2</v>
      </c>
      <c r="C58">
        <f t="shared" si="0"/>
        <v>2.75</v>
      </c>
      <c r="D58">
        <f t="shared" si="1"/>
        <v>-0.75</v>
      </c>
    </row>
    <row r="59" spans="1:4" x14ac:dyDescent="0.25">
      <c r="A59" s="1">
        <v>44075</v>
      </c>
      <c r="B59">
        <v>1.75</v>
      </c>
      <c r="C59">
        <f t="shared" si="0"/>
        <v>2.5625</v>
      </c>
      <c r="D59">
        <f t="shared" si="1"/>
        <v>-0.8125</v>
      </c>
    </row>
    <row r="60" spans="1:4" x14ac:dyDescent="0.25">
      <c r="A60" s="1">
        <v>44166</v>
      </c>
      <c r="B60">
        <v>1.75</v>
      </c>
      <c r="C60">
        <f t="shared" si="0"/>
        <v>2.3125</v>
      </c>
      <c r="D60">
        <f t="shared" si="1"/>
        <v>-0.5625</v>
      </c>
    </row>
    <row r="61" spans="1:4" x14ac:dyDescent="0.25">
      <c r="A61" s="1">
        <v>44256</v>
      </c>
      <c r="B61">
        <v>1.75</v>
      </c>
      <c r="C61">
        <f t="shared" si="0"/>
        <v>2.0625</v>
      </c>
      <c r="D61">
        <f t="shared" si="1"/>
        <v>-0.3125</v>
      </c>
    </row>
    <row r="62" spans="1:4" x14ac:dyDescent="0.25">
      <c r="A62" s="1">
        <v>44348</v>
      </c>
      <c r="B62">
        <v>1.75</v>
      </c>
      <c r="C62">
        <f t="shared" si="0"/>
        <v>1.8125</v>
      </c>
      <c r="D62">
        <f t="shared" si="1"/>
        <v>-6.25E-2</v>
      </c>
    </row>
    <row r="63" spans="1:4" x14ac:dyDescent="0.25">
      <c r="A63" s="1">
        <v>44440</v>
      </c>
      <c r="B63">
        <v>1.75</v>
      </c>
      <c r="C63">
        <f t="shared" si="0"/>
        <v>1.75</v>
      </c>
      <c r="D63">
        <f t="shared" si="1"/>
        <v>0</v>
      </c>
    </row>
    <row r="64" spans="1:4" x14ac:dyDescent="0.25">
      <c r="A64" s="1">
        <v>44531</v>
      </c>
      <c r="B64">
        <v>1.75</v>
      </c>
      <c r="C64">
        <f t="shared" si="0"/>
        <v>1.75</v>
      </c>
      <c r="D64">
        <f t="shared" si="1"/>
        <v>0</v>
      </c>
    </row>
    <row r="65" spans="1:4" x14ac:dyDescent="0.25">
      <c r="A65" s="1">
        <v>44621</v>
      </c>
      <c r="B65">
        <v>1.75</v>
      </c>
      <c r="C65">
        <f t="shared" si="0"/>
        <v>1.75</v>
      </c>
      <c r="D65">
        <f t="shared" si="1"/>
        <v>0</v>
      </c>
    </row>
    <row r="66" spans="1:4" x14ac:dyDescent="0.25">
      <c r="A66" s="1">
        <v>44713</v>
      </c>
      <c r="B66">
        <v>2</v>
      </c>
      <c r="C66">
        <f t="shared" si="0"/>
        <v>1.75</v>
      </c>
      <c r="D66">
        <f t="shared" si="1"/>
        <v>0.25</v>
      </c>
    </row>
    <row r="67" spans="1:4" x14ac:dyDescent="0.25">
      <c r="A67" s="1">
        <v>44805</v>
      </c>
      <c r="B67">
        <v>2.6666666666666599</v>
      </c>
      <c r="C67">
        <f t="shared" si="0"/>
        <v>1.8125</v>
      </c>
      <c r="D67">
        <f t="shared" si="1"/>
        <v>0.85416666666665986</v>
      </c>
    </row>
    <row r="68" spans="1:4" x14ac:dyDescent="0.25">
      <c r="A68" s="1">
        <v>44896</v>
      </c>
      <c r="B68">
        <v>3.5</v>
      </c>
      <c r="C68">
        <f t="shared" si="0"/>
        <v>2.0416666666666652</v>
      </c>
      <c r="D68">
        <f t="shared" si="1"/>
        <v>1.4583333333333348</v>
      </c>
    </row>
    <row r="69" spans="1:4" x14ac:dyDescent="0.25">
      <c r="A69" s="1">
        <v>44986</v>
      </c>
      <c r="B69">
        <v>4.4166666666666599</v>
      </c>
      <c r="C69">
        <f t="shared" si="0"/>
        <v>2.4791666666666652</v>
      </c>
      <c r="D69">
        <f t="shared" si="1"/>
        <v>1.9374999999999947</v>
      </c>
    </row>
    <row r="70" spans="1:4" x14ac:dyDescent="0.25">
      <c r="A70" s="1">
        <v>45078</v>
      </c>
      <c r="B70">
        <v>4.9166666666666599</v>
      </c>
      <c r="C70">
        <f t="shared" si="0"/>
        <v>3.1458333333333304</v>
      </c>
      <c r="D70">
        <f t="shared" si="1"/>
        <v>1.7708333333333295</v>
      </c>
    </row>
    <row r="71" spans="1:4" x14ac:dyDescent="0.25">
      <c r="A71" s="1">
        <v>45170</v>
      </c>
      <c r="B71">
        <v>5</v>
      </c>
      <c r="C71">
        <f t="shared" ref="C71:C79" si="2">AVERAGE(B67:B70)</f>
        <v>3.8749999999999947</v>
      </c>
      <c r="D71">
        <f t="shared" ref="D71:D79" si="3">B71-C71</f>
        <v>1.1250000000000053</v>
      </c>
    </row>
    <row r="72" spans="1:4" x14ac:dyDescent="0.25">
      <c r="A72" s="1">
        <v>45261</v>
      </c>
      <c r="B72">
        <v>5</v>
      </c>
      <c r="C72">
        <f t="shared" si="2"/>
        <v>4.4583333333333304</v>
      </c>
      <c r="D72">
        <f t="shared" si="3"/>
        <v>0.54166666666666963</v>
      </c>
    </row>
    <row r="73" spans="1:4" x14ac:dyDescent="0.25">
      <c r="A73" s="1">
        <v>45352</v>
      </c>
      <c r="B73">
        <v>5</v>
      </c>
      <c r="C73">
        <f t="shared" si="2"/>
        <v>4.8333333333333304</v>
      </c>
      <c r="D73">
        <f t="shared" si="3"/>
        <v>0.16666666666666963</v>
      </c>
    </row>
    <row r="74" spans="1:4" x14ac:dyDescent="0.25">
      <c r="A74" s="1">
        <v>45444</v>
      </c>
      <c r="B74">
        <v>5</v>
      </c>
      <c r="C74">
        <f t="shared" si="2"/>
        <v>4.9791666666666652</v>
      </c>
      <c r="D74">
        <f t="shared" si="3"/>
        <v>2.0833333333334814E-2</v>
      </c>
    </row>
    <row r="75" spans="1:4" x14ac:dyDescent="0.25">
      <c r="A75" s="1">
        <v>45536</v>
      </c>
      <c r="B75">
        <v>4.9166666666666599</v>
      </c>
      <c r="C75">
        <f t="shared" si="2"/>
        <v>5</v>
      </c>
      <c r="D75">
        <f t="shared" si="3"/>
        <v>-8.3333333333340143E-2</v>
      </c>
    </row>
    <row r="76" spans="1:4" x14ac:dyDescent="0.25">
      <c r="A76" s="1">
        <v>45627</v>
      </c>
      <c r="B76">
        <v>4.5833333333333304</v>
      </c>
      <c r="C76">
        <f t="shared" si="2"/>
        <v>4.9791666666666652</v>
      </c>
      <c r="D76">
        <f t="shared" si="3"/>
        <v>-0.39583333333333481</v>
      </c>
    </row>
    <row r="77" spans="1:4" x14ac:dyDescent="0.25">
      <c r="A77" s="1">
        <v>45717</v>
      </c>
      <c r="B77">
        <v>4.5</v>
      </c>
      <c r="C77">
        <f t="shared" si="2"/>
        <v>4.8749999999999982</v>
      </c>
      <c r="D77">
        <f t="shared" si="3"/>
        <v>-0.37499999999999822</v>
      </c>
    </row>
    <row r="78" spans="1:4" x14ac:dyDescent="0.25">
      <c r="A78" s="1">
        <v>45809</v>
      </c>
      <c r="B78">
        <v>4.5</v>
      </c>
      <c r="C78">
        <f t="shared" si="2"/>
        <v>4.7499999999999982</v>
      </c>
      <c r="D78">
        <f t="shared" si="3"/>
        <v>-0.24999999999999822</v>
      </c>
    </row>
    <row r="79" spans="1:4" x14ac:dyDescent="0.25">
      <c r="A79" s="1">
        <v>45901</v>
      </c>
      <c r="B79">
        <v>4.25</v>
      </c>
      <c r="C79">
        <f t="shared" si="2"/>
        <v>4.6249999999999973</v>
      </c>
      <c r="D79">
        <f t="shared" si="3"/>
        <v>-0.37499999999999734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9"/>
  <sheetViews>
    <sheetView workbookViewId="0">
      <selection activeCell="D2" sqref="D2"/>
    </sheetView>
  </sheetViews>
  <sheetFormatPr baseColWidth="10" defaultRowHeight="15" x14ac:dyDescent="0.25"/>
  <cols>
    <col min="3" max="3" width="12.5703125" bestFit="1" customWidth="1"/>
    <col min="5" max="5" width="11.85546875" bestFit="1" customWidth="1"/>
  </cols>
  <sheetData>
    <row r="1" spans="1:5" x14ac:dyDescent="0.25">
      <c r="A1" t="s">
        <v>0</v>
      </c>
      <c r="B1" t="s">
        <v>4</v>
      </c>
      <c r="C1" t="str">
        <f>_xlfn.CONCAT(B1,"_yoy")</f>
        <v>core_cpi_yoy</v>
      </c>
      <c r="D1" t="s">
        <v>26</v>
      </c>
      <c r="E1" t="s">
        <v>25</v>
      </c>
    </row>
    <row r="2" spans="1:5" x14ac:dyDescent="0.25">
      <c r="A2" s="1">
        <v>38869</v>
      </c>
      <c r="B2">
        <v>150.015786666666</v>
      </c>
    </row>
    <row r="3" spans="1:5" x14ac:dyDescent="0.25">
      <c r="A3" s="1">
        <v>38961</v>
      </c>
      <c r="B3">
        <v>151.61210666666599</v>
      </c>
    </row>
    <row r="4" spans="1:5" x14ac:dyDescent="0.25">
      <c r="A4" s="1">
        <v>39052</v>
      </c>
      <c r="B4">
        <v>153.04777000000001</v>
      </c>
    </row>
    <row r="5" spans="1:5" x14ac:dyDescent="0.25">
      <c r="A5" s="1">
        <v>39142</v>
      </c>
      <c r="B5">
        <v>156.38572666666599</v>
      </c>
    </row>
    <row r="6" spans="1:5" x14ac:dyDescent="0.25">
      <c r="A6" s="1">
        <v>39234</v>
      </c>
      <c r="B6">
        <v>158.50416999999999</v>
      </c>
      <c r="C6">
        <f>((B6/B2)-1)*100</f>
        <v>5.6583267147711114</v>
      </c>
    </row>
    <row r="7" spans="1:5" x14ac:dyDescent="0.25">
      <c r="A7" s="1">
        <v>39326</v>
      </c>
      <c r="B7">
        <v>160.74777333333299</v>
      </c>
      <c r="C7">
        <f t="shared" ref="C7:C70" si="0">((B7/B3)-1)*100</f>
        <v>6.0256841406159278</v>
      </c>
    </row>
    <row r="8" spans="1:5" x14ac:dyDescent="0.25">
      <c r="A8" s="1">
        <v>39417</v>
      </c>
      <c r="B8">
        <v>163.45267999999999</v>
      </c>
      <c r="C8">
        <f t="shared" si="0"/>
        <v>6.7984721371634249</v>
      </c>
    </row>
    <row r="9" spans="1:5" x14ac:dyDescent="0.25">
      <c r="A9" s="1">
        <v>39508</v>
      </c>
      <c r="B9">
        <v>168.39684333333301</v>
      </c>
      <c r="C9">
        <f t="shared" si="0"/>
        <v>7.6804430446958616</v>
      </c>
    </row>
    <row r="10" spans="1:5" x14ac:dyDescent="0.25">
      <c r="A10" s="1">
        <v>39600</v>
      </c>
      <c r="B10">
        <v>172.67838333333299</v>
      </c>
      <c r="C10">
        <f t="shared" si="0"/>
        <v>8.9424860767593586</v>
      </c>
      <c r="D10">
        <f>AVERAGE(C6:C9)</f>
        <v>6.5407315093115823</v>
      </c>
      <c r="E10">
        <f>C10-D10</f>
        <v>2.4017545674477763</v>
      </c>
    </row>
    <row r="11" spans="1:5" x14ac:dyDescent="0.25">
      <c r="A11" s="1">
        <v>39692</v>
      </c>
      <c r="B11">
        <v>177.01507000000001</v>
      </c>
      <c r="C11">
        <f t="shared" si="0"/>
        <v>10.119764852315871</v>
      </c>
      <c r="D11">
        <f t="shared" ref="D11:D74" si="1">AVERAGE(C7:C10)</f>
        <v>7.3617713498086434</v>
      </c>
      <c r="E11">
        <f t="shared" ref="E11:E74" si="2">C11-D11</f>
        <v>2.7579935025072277</v>
      </c>
    </row>
    <row r="12" spans="1:5" x14ac:dyDescent="0.25">
      <c r="A12" s="1">
        <v>39783</v>
      </c>
      <c r="B12">
        <v>179.973886666666</v>
      </c>
      <c r="C12">
        <f t="shared" si="0"/>
        <v>10.107638899934845</v>
      </c>
      <c r="D12">
        <f t="shared" si="1"/>
        <v>8.385291527733628</v>
      </c>
      <c r="E12">
        <f t="shared" si="2"/>
        <v>1.7223473722012166</v>
      </c>
    </row>
    <row r="13" spans="1:5" x14ac:dyDescent="0.25">
      <c r="A13" s="1">
        <v>39873</v>
      </c>
      <c r="B13">
        <v>181.95939000000001</v>
      </c>
      <c r="C13">
        <f t="shared" si="0"/>
        <v>8.0539197755747907</v>
      </c>
      <c r="D13">
        <f t="shared" si="1"/>
        <v>9.2125832184264844</v>
      </c>
      <c r="E13">
        <f t="shared" si="2"/>
        <v>-1.1586634428516938</v>
      </c>
    </row>
    <row r="14" spans="1:5" x14ac:dyDescent="0.25">
      <c r="A14" s="1">
        <v>39965</v>
      </c>
      <c r="B14">
        <v>182.96869333333299</v>
      </c>
      <c r="C14">
        <f t="shared" si="0"/>
        <v>5.9592346195041168</v>
      </c>
      <c r="D14">
        <f t="shared" si="1"/>
        <v>9.3059524011462162</v>
      </c>
      <c r="E14">
        <f t="shared" si="2"/>
        <v>-3.3467177816420994</v>
      </c>
    </row>
    <row r="15" spans="1:5" x14ac:dyDescent="0.25">
      <c r="A15" s="1">
        <v>40057</v>
      </c>
      <c r="B15">
        <v>184.217956666666</v>
      </c>
      <c r="C15">
        <f t="shared" si="0"/>
        <v>4.0690810486734286</v>
      </c>
      <c r="D15">
        <f t="shared" si="1"/>
        <v>8.5601395368324056</v>
      </c>
      <c r="E15">
        <f t="shared" si="2"/>
        <v>-4.491058488158977</v>
      </c>
    </row>
    <row r="16" spans="1:5" x14ac:dyDescent="0.25">
      <c r="A16" s="1">
        <v>40148</v>
      </c>
      <c r="B16">
        <v>185.39561333333299</v>
      </c>
      <c r="C16">
        <f t="shared" si="0"/>
        <v>3.01250740709329</v>
      </c>
      <c r="D16">
        <f t="shared" si="1"/>
        <v>7.0474685859217949</v>
      </c>
      <c r="E16">
        <f t="shared" si="2"/>
        <v>-4.0349611788285049</v>
      </c>
    </row>
    <row r="17" spans="1:5" x14ac:dyDescent="0.25">
      <c r="A17" s="1">
        <v>40238</v>
      </c>
      <c r="B17">
        <v>187.69257999999999</v>
      </c>
      <c r="C17">
        <f t="shared" si="0"/>
        <v>3.150807441154857</v>
      </c>
      <c r="D17">
        <f t="shared" si="1"/>
        <v>5.2736857127114067</v>
      </c>
      <c r="E17">
        <f t="shared" si="2"/>
        <v>-2.1228782715565497</v>
      </c>
    </row>
    <row r="18" spans="1:5" x14ac:dyDescent="0.25">
      <c r="A18" s="1">
        <v>40330</v>
      </c>
      <c r="B18">
        <v>189.63226999999901</v>
      </c>
      <c r="C18">
        <f t="shared" si="0"/>
        <v>3.6419217655592639</v>
      </c>
      <c r="D18">
        <f t="shared" si="1"/>
        <v>4.0479076291064224</v>
      </c>
      <c r="E18">
        <f t="shared" si="2"/>
        <v>-0.40598586354715849</v>
      </c>
    </row>
    <row r="19" spans="1:5" x14ac:dyDescent="0.25">
      <c r="A19" s="1">
        <v>40422</v>
      </c>
      <c r="B19">
        <v>191.30178000000001</v>
      </c>
      <c r="C19">
        <f t="shared" si="0"/>
        <v>3.845348988509234</v>
      </c>
      <c r="D19">
        <f t="shared" si="1"/>
        <v>3.4685794156202099</v>
      </c>
      <c r="E19">
        <f t="shared" si="2"/>
        <v>0.37676957288902413</v>
      </c>
    </row>
    <row r="20" spans="1:5" x14ac:dyDescent="0.25">
      <c r="A20" s="1">
        <v>40513</v>
      </c>
      <c r="B20">
        <v>192.95538999999999</v>
      </c>
      <c r="C20">
        <f t="shared" si="0"/>
        <v>4.0776459220072558</v>
      </c>
      <c r="D20">
        <f t="shared" si="1"/>
        <v>3.4126464005791615</v>
      </c>
      <c r="E20">
        <f t="shared" si="2"/>
        <v>0.66499952142809438</v>
      </c>
    </row>
    <row r="21" spans="1:5" x14ac:dyDescent="0.25">
      <c r="A21" s="1">
        <v>40603</v>
      </c>
      <c r="B21">
        <v>195.88597999999999</v>
      </c>
      <c r="C21">
        <f t="shared" si="0"/>
        <v>4.3653297322675089</v>
      </c>
      <c r="D21">
        <f t="shared" si="1"/>
        <v>3.6789310293076527</v>
      </c>
      <c r="E21">
        <f t="shared" si="2"/>
        <v>0.68639870295985617</v>
      </c>
    </row>
    <row r="22" spans="1:5" x14ac:dyDescent="0.25">
      <c r="A22" s="1">
        <v>40695</v>
      </c>
      <c r="B22">
        <v>198.900706666666</v>
      </c>
      <c r="C22">
        <f t="shared" si="0"/>
        <v>4.8875840945568072</v>
      </c>
      <c r="D22">
        <f t="shared" si="1"/>
        <v>3.9825616020858154</v>
      </c>
      <c r="E22">
        <f t="shared" si="2"/>
        <v>0.90502249247099176</v>
      </c>
    </row>
    <row r="23" spans="1:5" x14ac:dyDescent="0.25">
      <c r="A23" s="1">
        <v>40787</v>
      </c>
      <c r="B23">
        <v>201.63990000000001</v>
      </c>
      <c r="C23">
        <f t="shared" si="0"/>
        <v>5.4040898103509649</v>
      </c>
      <c r="D23">
        <f t="shared" si="1"/>
        <v>4.2939771843352013</v>
      </c>
      <c r="E23">
        <f t="shared" si="2"/>
        <v>1.1101126260157637</v>
      </c>
    </row>
    <row r="24" spans="1:5" x14ac:dyDescent="0.25">
      <c r="A24" s="1">
        <v>40878</v>
      </c>
      <c r="B24">
        <v>203.75373666666599</v>
      </c>
      <c r="C24">
        <f t="shared" si="0"/>
        <v>5.5962917991904781</v>
      </c>
      <c r="D24">
        <f t="shared" si="1"/>
        <v>4.683662389795634</v>
      </c>
      <c r="E24">
        <f t="shared" si="2"/>
        <v>0.91262940939484416</v>
      </c>
    </row>
    <row r="25" spans="1:5" x14ac:dyDescent="0.25">
      <c r="A25" s="1">
        <v>40969</v>
      </c>
      <c r="B25">
        <v>205.852366666666</v>
      </c>
      <c r="C25">
        <f t="shared" si="0"/>
        <v>5.0878509358689206</v>
      </c>
      <c r="D25">
        <f t="shared" si="1"/>
        <v>5.0633238590914393</v>
      </c>
      <c r="E25">
        <f t="shared" si="2"/>
        <v>2.4527076777481227E-2</v>
      </c>
    </row>
    <row r="26" spans="1:5" x14ac:dyDescent="0.25">
      <c r="A26" s="1">
        <v>41061</v>
      </c>
      <c r="B26">
        <v>208.06119333333299</v>
      </c>
      <c r="C26">
        <f t="shared" si="0"/>
        <v>4.6055576273134502</v>
      </c>
      <c r="D26">
        <f t="shared" si="1"/>
        <v>5.2439541599917927</v>
      </c>
      <c r="E26">
        <f t="shared" si="2"/>
        <v>-0.63839653267834251</v>
      </c>
    </row>
    <row r="27" spans="1:5" x14ac:dyDescent="0.25">
      <c r="A27" s="1">
        <v>41153</v>
      </c>
      <c r="B27">
        <v>210.50357666666599</v>
      </c>
      <c r="C27">
        <f t="shared" si="0"/>
        <v>4.3957950121310319</v>
      </c>
      <c r="D27">
        <f t="shared" si="1"/>
        <v>5.1734475431809539</v>
      </c>
      <c r="E27">
        <f t="shared" si="2"/>
        <v>-0.77765253104992205</v>
      </c>
    </row>
    <row r="28" spans="1:5" x14ac:dyDescent="0.25">
      <c r="A28" s="1">
        <v>41244</v>
      </c>
      <c r="B28">
        <v>212.76001333333301</v>
      </c>
      <c r="C28">
        <f t="shared" si="0"/>
        <v>4.4201774230040236</v>
      </c>
      <c r="D28">
        <f t="shared" si="1"/>
        <v>4.92137384362597</v>
      </c>
      <c r="E28">
        <f t="shared" si="2"/>
        <v>-0.50119642062194636</v>
      </c>
    </row>
    <row r="29" spans="1:5" x14ac:dyDescent="0.25">
      <c r="A29" s="1">
        <v>41334</v>
      </c>
      <c r="B29">
        <v>215.53486999999899</v>
      </c>
      <c r="C29">
        <f t="shared" si="0"/>
        <v>4.7036152608396886</v>
      </c>
      <c r="D29">
        <f t="shared" si="1"/>
        <v>4.6273452495793563</v>
      </c>
      <c r="E29">
        <f t="shared" si="2"/>
        <v>7.6270011260332282E-2</v>
      </c>
    </row>
    <row r="30" spans="1:5" x14ac:dyDescent="0.25">
      <c r="A30" s="1">
        <v>41426</v>
      </c>
      <c r="B30">
        <v>217.771246666666</v>
      </c>
      <c r="C30">
        <f t="shared" si="0"/>
        <v>4.6669218693639936</v>
      </c>
      <c r="D30">
        <f t="shared" si="1"/>
        <v>4.5312863308220486</v>
      </c>
      <c r="E30">
        <f t="shared" si="2"/>
        <v>0.13563553854194499</v>
      </c>
    </row>
    <row r="31" spans="1:5" x14ac:dyDescent="0.25">
      <c r="A31" s="1">
        <v>41518</v>
      </c>
      <c r="B31">
        <v>219.374926666666</v>
      </c>
      <c r="C31">
        <f t="shared" si="0"/>
        <v>4.214346445071504</v>
      </c>
      <c r="D31">
        <f t="shared" si="1"/>
        <v>4.5466273913346846</v>
      </c>
      <c r="E31">
        <f t="shared" si="2"/>
        <v>-0.33228094626318061</v>
      </c>
    </row>
    <row r="32" spans="1:5" x14ac:dyDescent="0.25">
      <c r="A32" s="1">
        <v>41609</v>
      </c>
      <c r="B32">
        <v>220.98630333333301</v>
      </c>
      <c r="C32">
        <f t="shared" si="0"/>
        <v>3.8664643187025005</v>
      </c>
      <c r="D32">
        <f t="shared" si="1"/>
        <v>4.5012652495698031</v>
      </c>
      <c r="E32">
        <f t="shared" si="2"/>
        <v>-0.6348009308673026</v>
      </c>
    </row>
    <row r="33" spans="1:5" x14ac:dyDescent="0.25">
      <c r="A33" s="1">
        <v>41699</v>
      </c>
      <c r="B33">
        <v>222.74112</v>
      </c>
      <c r="C33">
        <f t="shared" si="0"/>
        <v>3.3434265184102419</v>
      </c>
      <c r="D33">
        <f t="shared" si="1"/>
        <v>4.3628369734944217</v>
      </c>
      <c r="E33">
        <f t="shared" si="2"/>
        <v>-1.0194104550841798</v>
      </c>
    </row>
    <row r="34" spans="1:5" x14ac:dyDescent="0.25">
      <c r="A34" s="1">
        <v>41791</v>
      </c>
      <c r="B34">
        <v>224.63159666666601</v>
      </c>
      <c r="C34">
        <f t="shared" si="0"/>
        <v>3.1502551897959696</v>
      </c>
      <c r="D34">
        <f t="shared" si="1"/>
        <v>4.02278978788706</v>
      </c>
      <c r="E34">
        <f t="shared" si="2"/>
        <v>-0.87253459809109035</v>
      </c>
    </row>
    <row r="35" spans="1:5" x14ac:dyDescent="0.25">
      <c r="A35" s="1">
        <v>41883</v>
      </c>
      <c r="B35">
        <v>226.47525999999999</v>
      </c>
      <c r="C35">
        <f t="shared" si="0"/>
        <v>3.2366202652333032</v>
      </c>
      <c r="D35">
        <f t="shared" si="1"/>
        <v>3.6436231179950536</v>
      </c>
      <c r="E35">
        <f t="shared" si="2"/>
        <v>-0.40700285276175041</v>
      </c>
    </row>
    <row r="36" spans="1:5" x14ac:dyDescent="0.25">
      <c r="A36" s="1">
        <v>41974</v>
      </c>
      <c r="B36">
        <v>227.884353333333</v>
      </c>
      <c r="C36">
        <f t="shared" si="0"/>
        <v>3.1214830493793366</v>
      </c>
      <c r="D36">
        <f t="shared" si="1"/>
        <v>3.3991915730355036</v>
      </c>
      <c r="E36">
        <f t="shared" si="2"/>
        <v>-0.27770852365616694</v>
      </c>
    </row>
    <row r="37" spans="1:5" x14ac:dyDescent="0.25">
      <c r="A37" s="1">
        <v>42064</v>
      </c>
      <c r="B37">
        <v>229.367306666666</v>
      </c>
      <c r="C37">
        <f t="shared" si="0"/>
        <v>2.9748376351281802</v>
      </c>
      <c r="D37">
        <f t="shared" si="1"/>
        <v>3.212946255704713</v>
      </c>
      <c r="E37">
        <f t="shared" si="2"/>
        <v>-0.23810862057653281</v>
      </c>
    </row>
    <row r="38" spans="1:5" x14ac:dyDescent="0.25">
      <c r="A38" s="1">
        <v>42156</v>
      </c>
      <c r="B38">
        <v>231.087283333333</v>
      </c>
      <c r="C38">
        <f t="shared" si="0"/>
        <v>2.8738996483413937</v>
      </c>
      <c r="D38">
        <f t="shared" si="1"/>
        <v>3.1207990348841972</v>
      </c>
      <c r="E38">
        <f t="shared" si="2"/>
        <v>-0.24689938654280352</v>
      </c>
    </row>
    <row r="39" spans="1:5" x14ac:dyDescent="0.25">
      <c r="A39" s="1">
        <v>42248</v>
      </c>
      <c r="B39">
        <v>232.89532</v>
      </c>
      <c r="C39">
        <f t="shared" si="0"/>
        <v>2.8347732109900159</v>
      </c>
      <c r="D39">
        <f t="shared" si="1"/>
        <v>3.0517101495205532</v>
      </c>
      <c r="E39">
        <f t="shared" si="2"/>
        <v>-0.2169369385305373</v>
      </c>
    </row>
    <row r="40" spans="1:5" x14ac:dyDescent="0.25">
      <c r="A40" s="1">
        <v>42339</v>
      </c>
      <c r="B40">
        <v>234.526553333333</v>
      </c>
      <c r="C40">
        <f t="shared" si="0"/>
        <v>2.9147240268331487</v>
      </c>
      <c r="D40">
        <f t="shared" si="1"/>
        <v>2.9512483859597314</v>
      </c>
      <c r="E40">
        <f t="shared" si="2"/>
        <v>-3.6524359126582695E-2</v>
      </c>
    </row>
    <row r="41" spans="1:5" x14ac:dyDescent="0.25">
      <c r="A41" s="1">
        <v>42430</v>
      </c>
      <c r="B41">
        <v>236.19214666666599</v>
      </c>
      <c r="C41">
        <f t="shared" si="0"/>
        <v>2.9755068842127308</v>
      </c>
      <c r="D41">
        <f t="shared" si="1"/>
        <v>2.8995586303231846</v>
      </c>
      <c r="E41">
        <f t="shared" si="2"/>
        <v>7.594825388954618E-2</v>
      </c>
    </row>
    <row r="42" spans="1:5" x14ac:dyDescent="0.25">
      <c r="A42" s="1">
        <v>42522</v>
      </c>
      <c r="B42">
        <v>237.971546666666</v>
      </c>
      <c r="C42">
        <f t="shared" si="0"/>
        <v>2.9790749339515754</v>
      </c>
      <c r="D42">
        <f t="shared" si="1"/>
        <v>2.8997259425943223</v>
      </c>
      <c r="E42">
        <f t="shared" si="2"/>
        <v>7.9348991357253151E-2</v>
      </c>
    </row>
    <row r="43" spans="1:5" x14ac:dyDescent="0.25">
      <c r="A43" s="1">
        <v>42614</v>
      </c>
      <c r="B43">
        <v>239.66417000000001</v>
      </c>
      <c r="C43">
        <f t="shared" si="0"/>
        <v>2.9063915925833239</v>
      </c>
      <c r="D43">
        <f t="shared" si="1"/>
        <v>2.9260197639968677</v>
      </c>
      <c r="E43">
        <f t="shared" si="2"/>
        <v>-1.9628171413543782E-2</v>
      </c>
    </row>
    <row r="44" spans="1:5" x14ac:dyDescent="0.25">
      <c r="A44" s="1">
        <v>42705</v>
      </c>
      <c r="B44">
        <v>241.18182999999999</v>
      </c>
      <c r="C44">
        <f t="shared" si="0"/>
        <v>2.8377497439310506</v>
      </c>
      <c r="D44">
        <f t="shared" si="1"/>
        <v>2.9439243593951949</v>
      </c>
      <c r="E44">
        <f t="shared" si="2"/>
        <v>-0.10617461546414431</v>
      </c>
    </row>
    <row r="45" spans="1:5" x14ac:dyDescent="0.25">
      <c r="A45" s="1">
        <v>42795</v>
      </c>
      <c r="B45">
        <v>243.08084666666599</v>
      </c>
      <c r="C45">
        <f t="shared" si="0"/>
        <v>2.916566065899695</v>
      </c>
      <c r="D45">
        <f t="shared" si="1"/>
        <v>2.92468078866967</v>
      </c>
      <c r="E45">
        <f t="shared" si="2"/>
        <v>-8.1147227699749358E-3</v>
      </c>
    </row>
    <row r="46" spans="1:5" x14ac:dyDescent="0.25">
      <c r="A46" s="1">
        <v>42887</v>
      </c>
      <c r="B46">
        <v>244.45406</v>
      </c>
      <c r="C46">
        <f t="shared" si="0"/>
        <v>2.7240707656593255</v>
      </c>
      <c r="D46">
        <f t="shared" si="1"/>
        <v>2.9099455840914112</v>
      </c>
      <c r="E46">
        <f t="shared" si="2"/>
        <v>-0.18587481843208575</v>
      </c>
    </row>
    <row r="47" spans="1:5" x14ac:dyDescent="0.25">
      <c r="A47" s="1">
        <v>42979</v>
      </c>
      <c r="B47">
        <v>245.78439333333301</v>
      </c>
      <c r="C47">
        <f t="shared" si="0"/>
        <v>2.5536663796398962</v>
      </c>
      <c r="D47">
        <f t="shared" si="1"/>
        <v>2.8461945420183485</v>
      </c>
      <c r="E47">
        <f t="shared" si="2"/>
        <v>-0.29252816237845236</v>
      </c>
    </row>
    <row r="48" spans="1:5" x14ac:dyDescent="0.25">
      <c r="A48" s="1">
        <v>43070</v>
      </c>
      <c r="B48">
        <v>247.33489</v>
      </c>
      <c r="C48">
        <f t="shared" si="0"/>
        <v>2.5512120875772482</v>
      </c>
      <c r="D48">
        <f t="shared" si="1"/>
        <v>2.7580132387824916</v>
      </c>
      <c r="E48">
        <f t="shared" si="2"/>
        <v>-0.20680115120524345</v>
      </c>
    </row>
    <row r="49" spans="1:5" x14ac:dyDescent="0.25">
      <c r="A49" s="1">
        <v>43160</v>
      </c>
      <c r="B49">
        <v>248.880793333333</v>
      </c>
      <c r="C49">
        <f t="shared" si="0"/>
        <v>2.3860154949272516</v>
      </c>
      <c r="D49">
        <f t="shared" si="1"/>
        <v>2.6863788246940414</v>
      </c>
      <c r="E49">
        <f t="shared" si="2"/>
        <v>-0.30036332976678981</v>
      </c>
    </row>
    <row r="50" spans="1:5" x14ac:dyDescent="0.25">
      <c r="A50" s="1">
        <v>43252</v>
      </c>
      <c r="B50">
        <v>250.484213333333</v>
      </c>
      <c r="C50">
        <f t="shared" si="0"/>
        <v>2.4667838747832738</v>
      </c>
      <c r="D50">
        <f t="shared" si="1"/>
        <v>2.5537411819509304</v>
      </c>
      <c r="E50">
        <f t="shared" si="2"/>
        <v>-8.6957307167656595E-2</v>
      </c>
    </row>
    <row r="51" spans="1:5" x14ac:dyDescent="0.25">
      <c r="A51" s="1">
        <v>43344</v>
      </c>
      <c r="B51">
        <v>252.45359666666599</v>
      </c>
      <c r="C51">
        <f t="shared" si="0"/>
        <v>2.7134364565972291</v>
      </c>
      <c r="D51">
        <f t="shared" si="1"/>
        <v>2.4894194592319172</v>
      </c>
      <c r="E51">
        <f t="shared" si="2"/>
        <v>0.22401699736531189</v>
      </c>
    </row>
    <row r="52" spans="1:5" x14ac:dyDescent="0.25">
      <c r="A52" s="1">
        <v>43435</v>
      </c>
      <c r="B52">
        <v>253.71710999999999</v>
      </c>
      <c r="C52">
        <f t="shared" si="0"/>
        <v>2.5803961584230928</v>
      </c>
      <c r="D52">
        <f t="shared" si="1"/>
        <v>2.5293619784712504</v>
      </c>
      <c r="E52">
        <f t="shared" si="2"/>
        <v>5.103417995184234E-2</v>
      </c>
    </row>
    <row r="53" spans="1:5" x14ac:dyDescent="0.25">
      <c r="A53" s="1">
        <v>43525</v>
      </c>
      <c r="B53">
        <v>254.64612</v>
      </c>
      <c r="C53">
        <f t="shared" si="0"/>
        <v>2.3165012411967556</v>
      </c>
      <c r="D53">
        <f t="shared" si="1"/>
        <v>2.5366579961827118</v>
      </c>
      <c r="E53">
        <f t="shared" si="2"/>
        <v>-0.22015675498595622</v>
      </c>
    </row>
    <row r="54" spans="1:5" x14ac:dyDescent="0.25">
      <c r="A54" s="1">
        <v>43617</v>
      </c>
      <c r="B54">
        <v>256.13247999999999</v>
      </c>
      <c r="C54">
        <f t="shared" si="0"/>
        <v>2.2549391801991669</v>
      </c>
      <c r="D54">
        <f t="shared" si="1"/>
        <v>2.5192794327500878</v>
      </c>
      <c r="E54">
        <f t="shared" si="2"/>
        <v>-0.26434025255092086</v>
      </c>
    </row>
    <row r="55" spans="1:5" x14ac:dyDescent="0.25">
      <c r="A55" s="1">
        <v>43709</v>
      </c>
      <c r="B55">
        <v>257.52440000000001</v>
      </c>
      <c r="C55">
        <f t="shared" si="0"/>
        <v>2.0086080770041148</v>
      </c>
      <c r="D55">
        <f t="shared" si="1"/>
        <v>2.4663182591040611</v>
      </c>
      <c r="E55">
        <f t="shared" si="2"/>
        <v>-0.45771018209994629</v>
      </c>
    </row>
    <row r="56" spans="1:5" x14ac:dyDescent="0.25">
      <c r="A56" s="1">
        <v>43800</v>
      </c>
      <c r="B56">
        <v>258.62581</v>
      </c>
      <c r="C56">
        <f t="shared" si="0"/>
        <v>1.9347138235966899</v>
      </c>
      <c r="D56">
        <f t="shared" si="1"/>
        <v>2.2901111642057828</v>
      </c>
      <c r="E56">
        <f t="shared" si="2"/>
        <v>-0.35539734060909289</v>
      </c>
    </row>
    <row r="57" spans="1:5" x14ac:dyDescent="0.25">
      <c r="A57" s="1">
        <v>43891</v>
      </c>
      <c r="B57">
        <v>259.74392999999998</v>
      </c>
      <c r="C57">
        <f t="shared" si="0"/>
        <v>2.0019193695156146</v>
      </c>
      <c r="D57">
        <f t="shared" si="1"/>
        <v>2.1286905804991818</v>
      </c>
      <c r="E57">
        <f t="shared" si="2"/>
        <v>-0.12677121098356725</v>
      </c>
    </row>
    <row r="58" spans="1:5" x14ac:dyDescent="0.25">
      <c r="A58" s="1">
        <v>43983</v>
      </c>
      <c r="B58">
        <v>261.13720999999998</v>
      </c>
      <c r="C58">
        <f t="shared" si="0"/>
        <v>1.9539614811834749</v>
      </c>
      <c r="D58">
        <f t="shared" si="1"/>
        <v>2.0500451125788963</v>
      </c>
      <c r="E58">
        <f t="shared" si="2"/>
        <v>-9.6083631395421421E-2</v>
      </c>
    </row>
    <row r="59" spans="1:5" x14ac:dyDescent="0.25">
      <c r="A59" s="1">
        <v>44075</v>
      </c>
      <c r="B59">
        <v>262.55973999999998</v>
      </c>
      <c r="C59">
        <f t="shared" si="0"/>
        <v>1.95528656702042</v>
      </c>
      <c r="D59">
        <f t="shared" si="1"/>
        <v>1.9748006878249735</v>
      </c>
      <c r="E59">
        <f t="shared" si="2"/>
        <v>-1.9514120804553503E-2</v>
      </c>
    </row>
    <row r="60" spans="1:5" x14ac:dyDescent="0.25">
      <c r="A60" s="1">
        <v>44166</v>
      </c>
      <c r="B60">
        <v>264.522979999999</v>
      </c>
      <c r="C60">
        <f t="shared" si="0"/>
        <v>2.280193921866891</v>
      </c>
      <c r="D60">
        <f t="shared" si="1"/>
        <v>1.9614703103290498</v>
      </c>
      <c r="E60">
        <f t="shared" si="2"/>
        <v>0.31872361153784112</v>
      </c>
    </row>
    <row r="61" spans="1:5" x14ac:dyDescent="0.25">
      <c r="A61" s="1">
        <v>44256</v>
      </c>
      <c r="B61">
        <v>266.501483333333</v>
      </c>
      <c r="C61">
        <f t="shared" si="0"/>
        <v>2.601621271123844</v>
      </c>
      <c r="D61">
        <f t="shared" si="1"/>
        <v>2.0478403348966001</v>
      </c>
      <c r="E61">
        <f t="shared" si="2"/>
        <v>0.55378093622724389</v>
      </c>
    </row>
    <row r="62" spans="1:5" x14ac:dyDescent="0.25">
      <c r="A62" s="1">
        <v>44348</v>
      </c>
      <c r="B62">
        <v>268.26915333333301</v>
      </c>
      <c r="C62">
        <f t="shared" si="0"/>
        <v>2.7311095700735422</v>
      </c>
      <c r="D62">
        <f t="shared" si="1"/>
        <v>2.1977658102986575</v>
      </c>
      <c r="E62">
        <f t="shared" si="2"/>
        <v>0.53334375977488468</v>
      </c>
    </row>
    <row r="63" spans="1:5" x14ac:dyDescent="0.25">
      <c r="A63" s="1">
        <v>44440</v>
      </c>
      <c r="B63">
        <v>269.980046666666</v>
      </c>
      <c r="C63">
        <f t="shared" si="0"/>
        <v>2.8261403163584831</v>
      </c>
      <c r="D63">
        <f t="shared" si="1"/>
        <v>2.3920528325211743</v>
      </c>
      <c r="E63">
        <f t="shared" si="2"/>
        <v>0.43408748383730877</v>
      </c>
    </row>
    <row r="64" spans="1:5" x14ac:dyDescent="0.25">
      <c r="A64" s="1">
        <v>44531</v>
      </c>
      <c r="B64">
        <v>272.82904000000002</v>
      </c>
      <c r="C64">
        <f t="shared" si="0"/>
        <v>3.1400145272826752</v>
      </c>
      <c r="D64">
        <f t="shared" si="1"/>
        <v>2.6097662698556903</v>
      </c>
      <c r="E64">
        <f t="shared" si="2"/>
        <v>0.53024825742698489</v>
      </c>
    </row>
    <row r="65" spans="1:5" x14ac:dyDescent="0.25">
      <c r="A65" s="1">
        <v>44621</v>
      </c>
      <c r="B65">
        <v>277.00576999999998</v>
      </c>
      <c r="C65">
        <f t="shared" si="0"/>
        <v>3.9415490432856304</v>
      </c>
      <c r="D65">
        <f t="shared" si="1"/>
        <v>2.8247214212096359</v>
      </c>
      <c r="E65">
        <f t="shared" si="2"/>
        <v>1.1168276220759945</v>
      </c>
    </row>
    <row r="66" spans="1:5" x14ac:dyDescent="0.25">
      <c r="A66" s="1">
        <v>44713</v>
      </c>
      <c r="B66">
        <v>283.29858999999902</v>
      </c>
      <c r="C66">
        <f t="shared" si="0"/>
        <v>5.602372274232903</v>
      </c>
      <c r="D66">
        <f t="shared" si="1"/>
        <v>3.1597033642500829</v>
      </c>
      <c r="E66">
        <f t="shared" si="2"/>
        <v>2.44266890998282</v>
      </c>
    </row>
    <row r="67" spans="1:5" x14ac:dyDescent="0.25">
      <c r="A67" s="1">
        <v>44805</v>
      </c>
      <c r="B67">
        <v>289.780116666666</v>
      </c>
      <c r="C67">
        <f t="shared" si="0"/>
        <v>7.3339012436153705</v>
      </c>
      <c r="D67">
        <f t="shared" si="1"/>
        <v>3.8775190402899229</v>
      </c>
      <c r="E67">
        <f t="shared" si="2"/>
        <v>3.4563822033254477</v>
      </c>
    </row>
    <row r="68" spans="1:5" x14ac:dyDescent="0.25">
      <c r="A68" s="1">
        <v>44896</v>
      </c>
      <c r="B68">
        <v>295.03643666666602</v>
      </c>
      <c r="C68">
        <f t="shared" si="0"/>
        <v>8.1396748185845524</v>
      </c>
      <c r="D68">
        <f t="shared" si="1"/>
        <v>5.0044592721041443</v>
      </c>
      <c r="E68">
        <f t="shared" si="2"/>
        <v>3.1352155464804081</v>
      </c>
    </row>
    <row r="69" spans="1:5" x14ac:dyDescent="0.25">
      <c r="A69" s="1">
        <v>44986</v>
      </c>
      <c r="B69">
        <v>298.88645666666599</v>
      </c>
      <c r="C69">
        <f t="shared" si="0"/>
        <v>7.8990003228690986</v>
      </c>
      <c r="D69">
        <f t="shared" si="1"/>
        <v>6.2543743449296141</v>
      </c>
      <c r="E69">
        <f t="shared" si="2"/>
        <v>1.6446259779394845</v>
      </c>
    </row>
    <row r="70" spans="1:5" x14ac:dyDescent="0.25">
      <c r="A70" s="1">
        <v>45078</v>
      </c>
      <c r="B70">
        <v>302.07290666666597</v>
      </c>
      <c r="C70">
        <f t="shared" si="0"/>
        <v>6.6270420430497134</v>
      </c>
      <c r="D70">
        <f t="shared" si="1"/>
        <v>7.2437371648254816</v>
      </c>
      <c r="E70">
        <f t="shared" si="2"/>
        <v>-0.61669512177576813</v>
      </c>
    </row>
    <row r="71" spans="1:5" x14ac:dyDescent="0.25">
      <c r="A71" s="1">
        <v>45170</v>
      </c>
      <c r="B71">
        <v>305.43264333333298</v>
      </c>
      <c r="C71">
        <f t="shared" ref="C71:C79" si="3">((B71/B67)-1)*100</f>
        <v>5.4015185191853776</v>
      </c>
      <c r="D71">
        <f t="shared" si="1"/>
        <v>7.4999046070296833</v>
      </c>
      <c r="E71">
        <f t="shared" si="2"/>
        <v>-2.0983860878443057</v>
      </c>
    </row>
    <row r="72" spans="1:5" x14ac:dyDescent="0.25">
      <c r="A72" s="1">
        <v>45261</v>
      </c>
      <c r="B72">
        <v>309.02900666666602</v>
      </c>
      <c r="C72">
        <f t="shared" si="3"/>
        <v>4.7426582825120356</v>
      </c>
      <c r="D72">
        <f t="shared" si="1"/>
        <v>7.0168089259221853</v>
      </c>
      <c r="E72">
        <f t="shared" si="2"/>
        <v>-2.2741506434101497</v>
      </c>
    </row>
    <row r="73" spans="1:5" x14ac:dyDescent="0.25">
      <c r="A73" s="1">
        <v>45352</v>
      </c>
      <c r="B73">
        <v>309.84477666666601</v>
      </c>
      <c r="C73">
        <f t="shared" si="3"/>
        <v>3.6663822517128297</v>
      </c>
      <c r="D73">
        <f t="shared" si="1"/>
        <v>6.1675547919040561</v>
      </c>
      <c r="E73">
        <f t="shared" si="2"/>
        <v>-2.5011725401912264</v>
      </c>
    </row>
    <row r="74" spans="1:5" x14ac:dyDescent="0.25">
      <c r="A74" s="1">
        <v>45444</v>
      </c>
      <c r="B74">
        <v>311.517556666666</v>
      </c>
      <c r="C74">
        <f t="shared" si="3"/>
        <v>3.1266127453204895</v>
      </c>
      <c r="D74">
        <f t="shared" si="1"/>
        <v>5.1094002741149884</v>
      </c>
      <c r="E74">
        <f t="shared" si="2"/>
        <v>-1.9827875287944989</v>
      </c>
    </row>
    <row r="75" spans="1:5" x14ac:dyDescent="0.25">
      <c r="A75" s="1">
        <v>45536</v>
      </c>
      <c r="B75">
        <v>313.357276666666</v>
      </c>
      <c r="C75">
        <f t="shared" si="3"/>
        <v>2.5945600466432461</v>
      </c>
      <c r="D75">
        <f t="shared" ref="D75:D79" si="4">AVERAGE(C71:C74)</f>
        <v>4.2342929496826827</v>
      </c>
      <c r="E75">
        <f t="shared" ref="E75:E79" si="5">C75-D75</f>
        <v>-1.6397329030394365</v>
      </c>
    </row>
    <row r="76" spans="1:5" x14ac:dyDescent="0.25">
      <c r="A76" s="1">
        <v>45627</v>
      </c>
      <c r="B76">
        <v>314.784326666666</v>
      </c>
      <c r="C76">
        <f t="shared" si="3"/>
        <v>1.8623882793656232</v>
      </c>
      <c r="D76">
        <f t="shared" si="4"/>
        <v>3.5325533315471498</v>
      </c>
      <c r="E76">
        <f t="shared" si="5"/>
        <v>-1.6701650521815266</v>
      </c>
    </row>
    <row r="77" spans="1:5" x14ac:dyDescent="0.25">
      <c r="A77" s="1">
        <v>45717</v>
      </c>
      <c r="B77">
        <v>315.31508333333301</v>
      </c>
      <c r="C77">
        <f t="shared" si="3"/>
        <v>1.7654990752198563</v>
      </c>
      <c r="D77">
        <f t="shared" si="4"/>
        <v>2.8124858307605471</v>
      </c>
      <c r="E77">
        <f t="shared" si="5"/>
        <v>-1.0469867555406909</v>
      </c>
    </row>
    <row r="78" spans="1:5" x14ac:dyDescent="0.25">
      <c r="A78" s="1">
        <v>45809</v>
      </c>
      <c r="B78">
        <v>316.25357666666599</v>
      </c>
      <c r="C78">
        <f t="shared" si="3"/>
        <v>1.5203059662758145</v>
      </c>
      <c r="D78">
        <f t="shared" si="4"/>
        <v>2.3372650366373038</v>
      </c>
      <c r="E78">
        <f t="shared" si="5"/>
        <v>-0.81695907036148929</v>
      </c>
    </row>
    <row r="79" spans="1:5" x14ac:dyDescent="0.25">
      <c r="A79" s="1">
        <v>45901</v>
      </c>
      <c r="B79">
        <v>317.445173333333</v>
      </c>
      <c r="C79">
        <f t="shared" si="3"/>
        <v>1.3045481854297325</v>
      </c>
      <c r="D79">
        <f t="shared" si="4"/>
        <v>1.935688341876135</v>
      </c>
      <c r="E79">
        <f t="shared" si="5"/>
        <v>-0.63114015644640253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9"/>
  <sheetViews>
    <sheetView tabSelected="1" workbookViewId="0">
      <selection activeCell="L1" sqref="L1"/>
    </sheetView>
  </sheetViews>
  <sheetFormatPr baseColWidth="10" defaultRowHeight="15" x14ac:dyDescent="0.25"/>
  <cols>
    <col min="4" max="4" width="12.5703125" bestFit="1" customWidth="1"/>
  </cols>
  <sheetData>
    <row r="1" spans="1:6" x14ac:dyDescent="0.25">
      <c r="A1" t="s">
        <v>0</v>
      </c>
      <c r="B1" t="s">
        <v>12</v>
      </c>
      <c r="C1" t="str">
        <f>_xlfn.CONCAT(B1,"_SM")</f>
        <v>GDP_SM</v>
      </c>
      <c r="D1" t="str">
        <f>_xlfn.CONCAT(C1,"_yoy")</f>
        <v>GDP_SM_yoy</v>
      </c>
      <c r="E1" t="s">
        <v>26</v>
      </c>
      <c r="F1" t="s">
        <v>25</v>
      </c>
    </row>
    <row r="2" spans="1:6" x14ac:dyDescent="0.25">
      <c r="A2" s="1">
        <v>38869</v>
      </c>
      <c r="B2">
        <v>79399.399999999994</v>
      </c>
    </row>
    <row r="3" spans="1:6" x14ac:dyDescent="0.25">
      <c r="A3" s="1">
        <v>38961</v>
      </c>
      <c r="B3">
        <v>80781.3</v>
      </c>
    </row>
    <row r="4" spans="1:6" x14ac:dyDescent="0.25">
      <c r="A4" s="1">
        <v>39052</v>
      </c>
      <c r="B4">
        <v>85047.2</v>
      </c>
    </row>
    <row r="5" spans="1:6" x14ac:dyDescent="0.25">
      <c r="A5" s="1">
        <v>39142</v>
      </c>
      <c r="B5">
        <v>88341.8</v>
      </c>
      <c r="C5">
        <f>SUM(B2:B5)</f>
        <v>333569.7</v>
      </c>
    </row>
    <row r="6" spans="1:6" x14ac:dyDescent="0.25">
      <c r="A6" s="1">
        <v>39234</v>
      </c>
      <c r="B6">
        <v>85226.5</v>
      </c>
      <c r="C6">
        <f t="shared" ref="C6:C69" si="0">SUM(B3:B6)</f>
        <v>339396.8</v>
      </c>
    </row>
    <row r="7" spans="1:6" x14ac:dyDescent="0.25">
      <c r="A7" s="1">
        <v>39326</v>
      </c>
      <c r="B7">
        <v>85488.2</v>
      </c>
      <c r="C7">
        <f t="shared" si="0"/>
        <v>344103.7</v>
      </c>
    </row>
    <row r="8" spans="1:6" x14ac:dyDescent="0.25">
      <c r="A8" s="1">
        <v>39417</v>
      </c>
      <c r="B8">
        <v>89195</v>
      </c>
      <c r="C8">
        <f t="shared" si="0"/>
        <v>348251.5</v>
      </c>
    </row>
    <row r="9" spans="1:6" x14ac:dyDescent="0.25">
      <c r="A9" s="1">
        <v>39508</v>
      </c>
      <c r="B9">
        <v>90929.600000000006</v>
      </c>
      <c r="C9">
        <f t="shared" si="0"/>
        <v>350839.30000000005</v>
      </c>
      <c r="D9">
        <f>((C9/C5)-1)*100</f>
        <v>5.177208841210712</v>
      </c>
    </row>
    <row r="10" spans="1:6" x14ac:dyDescent="0.25">
      <c r="A10" s="1">
        <v>39600</v>
      </c>
      <c r="B10">
        <v>90145.1</v>
      </c>
      <c r="C10">
        <f t="shared" si="0"/>
        <v>355757.9</v>
      </c>
      <c r="D10">
        <f t="shared" ref="D10:D73" si="1">((C10/C6)-1)*100</f>
        <v>4.8206406188862294</v>
      </c>
    </row>
    <row r="11" spans="1:6" x14ac:dyDescent="0.25">
      <c r="A11" s="1">
        <v>39692</v>
      </c>
      <c r="B11">
        <v>88192.3</v>
      </c>
      <c r="C11">
        <f t="shared" si="0"/>
        <v>358462</v>
      </c>
      <c r="D11">
        <f t="shared" si="1"/>
        <v>4.17266655371622</v>
      </c>
    </row>
    <row r="12" spans="1:6" x14ac:dyDescent="0.25">
      <c r="A12" s="1">
        <v>39783</v>
      </c>
      <c r="B12">
        <v>91738.9</v>
      </c>
      <c r="C12">
        <f t="shared" si="0"/>
        <v>361005.9</v>
      </c>
      <c r="D12">
        <f t="shared" si="1"/>
        <v>3.6624106428830849</v>
      </c>
    </row>
    <row r="13" spans="1:6" x14ac:dyDescent="0.25">
      <c r="A13" s="1">
        <v>39873</v>
      </c>
      <c r="B13">
        <v>90819.8</v>
      </c>
      <c r="C13">
        <f t="shared" si="0"/>
        <v>360896.10000000003</v>
      </c>
      <c r="D13">
        <f t="shared" si="1"/>
        <v>2.8664975674047799</v>
      </c>
      <c r="E13">
        <f>AVERAGE(D9:D12)</f>
        <v>4.4582316641740611</v>
      </c>
      <c r="F13">
        <f>D13-E13</f>
        <v>-1.5917340967692812</v>
      </c>
    </row>
    <row r="14" spans="1:6" x14ac:dyDescent="0.25">
      <c r="A14" s="1">
        <v>39965</v>
      </c>
      <c r="B14">
        <v>89285.9</v>
      </c>
      <c r="C14">
        <f t="shared" si="0"/>
        <v>360036.9</v>
      </c>
      <c r="D14">
        <f t="shared" si="1"/>
        <v>1.2027842529990229</v>
      </c>
      <c r="E14">
        <f t="shared" ref="E14:E77" si="2">AVERAGE(D10:D13)</f>
        <v>3.8805538457225786</v>
      </c>
      <c r="F14">
        <f t="shared" ref="F14:F77" si="3">D14-E14</f>
        <v>-2.6777695927235556</v>
      </c>
    </row>
    <row r="15" spans="1:6" x14ac:dyDescent="0.25">
      <c r="A15" s="1">
        <v>40057</v>
      </c>
      <c r="B15">
        <v>89414.1</v>
      </c>
      <c r="C15">
        <f t="shared" si="0"/>
        <v>361258.69999999995</v>
      </c>
      <c r="D15">
        <f t="shared" si="1"/>
        <v>0.78019427442796996</v>
      </c>
      <c r="E15">
        <f t="shared" si="2"/>
        <v>2.9760897542507774</v>
      </c>
      <c r="F15">
        <f t="shared" si="3"/>
        <v>-2.1958954798228074</v>
      </c>
    </row>
    <row r="16" spans="1:6" x14ac:dyDescent="0.25">
      <c r="A16" s="1">
        <v>40148</v>
      </c>
      <c r="B16">
        <v>93767.9</v>
      </c>
      <c r="C16">
        <f t="shared" si="0"/>
        <v>363287.70000000007</v>
      </c>
      <c r="D16">
        <f t="shared" si="1"/>
        <v>0.63206723214219718</v>
      </c>
      <c r="E16">
        <f t="shared" si="2"/>
        <v>2.1279716844287142</v>
      </c>
      <c r="F16">
        <f t="shared" si="3"/>
        <v>-1.495904452286517</v>
      </c>
    </row>
    <row r="17" spans="1:6" x14ac:dyDescent="0.25">
      <c r="A17" s="1">
        <v>40238</v>
      </c>
      <c r="B17">
        <v>93561.1</v>
      </c>
      <c r="C17">
        <f t="shared" si="0"/>
        <v>366029</v>
      </c>
      <c r="D17">
        <f t="shared" si="1"/>
        <v>1.4222653001791929</v>
      </c>
      <c r="E17">
        <f t="shared" si="2"/>
        <v>1.3703858317434925</v>
      </c>
      <c r="F17">
        <f t="shared" si="3"/>
        <v>5.187946843570046E-2</v>
      </c>
    </row>
    <row r="18" spans="1:6" x14ac:dyDescent="0.25">
      <c r="A18" s="1">
        <v>40330</v>
      </c>
      <c r="B18">
        <v>92080.5</v>
      </c>
      <c r="C18">
        <f t="shared" si="0"/>
        <v>368823.6</v>
      </c>
      <c r="D18">
        <f t="shared" si="1"/>
        <v>2.4404998487654872</v>
      </c>
      <c r="E18">
        <f t="shared" si="2"/>
        <v>1.0093277649370958</v>
      </c>
      <c r="F18">
        <f t="shared" si="3"/>
        <v>1.4311720838283915</v>
      </c>
    </row>
    <row r="19" spans="1:6" x14ac:dyDescent="0.25">
      <c r="A19" s="1">
        <v>40422</v>
      </c>
      <c r="B19">
        <v>91027.199999999997</v>
      </c>
      <c r="C19">
        <f t="shared" si="0"/>
        <v>370436.7</v>
      </c>
      <c r="D19">
        <f t="shared" si="1"/>
        <v>2.5405616529097008</v>
      </c>
      <c r="E19">
        <f t="shared" si="2"/>
        <v>1.3187566638787118</v>
      </c>
      <c r="F19">
        <f t="shared" si="3"/>
        <v>1.221804989030989</v>
      </c>
    </row>
    <row r="20" spans="1:6" x14ac:dyDescent="0.25">
      <c r="A20" s="1">
        <v>40513</v>
      </c>
      <c r="B20">
        <v>96812</v>
      </c>
      <c r="C20">
        <f t="shared" si="0"/>
        <v>373480.8</v>
      </c>
      <c r="D20">
        <f t="shared" si="1"/>
        <v>2.8057927642471503</v>
      </c>
      <c r="E20">
        <f t="shared" si="2"/>
        <v>1.7588485084991445</v>
      </c>
      <c r="F20">
        <f t="shared" si="3"/>
        <v>1.0469442557480058</v>
      </c>
    </row>
    <row r="21" spans="1:6" x14ac:dyDescent="0.25">
      <c r="A21" s="1">
        <v>40603</v>
      </c>
      <c r="B21">
        <v>97288.7</v>
      </c>
      <c r="C21">
        <f t="shared" si="0"/>
        <v>377208.4</v>
      </c>
      <c r="D21">
        <f t="shared" si="1"/>
        <v>3.054238871783399</v>
      </c>
      <c r="E21">
        <f t="shared" si="2"/>
        <v>2.3022798915253828</v>
      </c>
      <c r="F21">
        <f t="shared" si="3"/>
        <v>0.75195898025801622</v>
      </c>
    </row>
    <row r="22" spans="1:6" x14ac:dyDescent="0.25">
      <c r="A22" s="1">
        <v>40695</v>
      </c>
      <c r="B22">
        <v>96227</v>
      </c>
      <c r="C22">
        <f t="shared" si="0"/>
        <v>381354.9</v>
      </c>
      <c r="D22">
        <f t="shared" si="1"/>
        <v>3.3976404980592401</v>
      </c>
      <c r="E22">
        <f t="shared" si="2"/>
        <v>2.7102732844264343</v>
      </c>
      <c r="F22">
        <f t="shared" si="3"/>
        <v>0.68736721363280573</v>
      </c>
    </row>
    <row r="23" spans="1:6" x14ac:dyDescent="0.25">
      <c r="A23" s="1">
        <v>40787</v>
      </c>
      <c r="B23">
        <v>96247.7</v>
      </c>
      <c r="C23">
        <f t="shared" si="0"/>
        <v>386575.4</v>
      </c>
      <c r="D23">
        <f t="shared" si="1"/>
        <v>4.3566687641910296</v>
      </c>
      <c r="E23">
        <f t="shared" si="2"/>
        <v>2.9495584467498723</v>
      </c>
      <c r="F23">
        <f t="shared" si="3"/>
        <v>1.4071103174411572</v>
      </c>
    </row>
    <row r="24" spans="1:6" x14ac:dyDescent="0.25">
      <c r="A24" s="1">
        <v>40878</v>
      </c>
      <c r="B24">
        <v>100318.9</v>
      </c>
      <c r="C24">
        <f t="shared" si="0"/>
        <v>390082.30000000005</v>
      </c>
      <c r="D24">
        <f t="shared" si="1"/>
        <v>4.4450745526945612</v>
      </c>
      <c r="E24">
        <f t="shared" si="2"/>
        <v>3.4035852245702047</v>
      </c>
      <c r="F24">
        <f t="shared" si="3"/>
        <v>1.0414893281243565</v>
      </c>
    </row>
    <row r="25" spans="1:6" x14ac:dyDescent="0.25">
      <c r="A25" s="1">
        <v>40969</v>
      </c>
      <c r="B25">
        <v>101001.4</v>
      </c>
      <c r="C25">
        <f t="shared" si="0"/>
        <v>393795</v>
      </c>
      <c r="D25">
        <f t="shared" si="1"/>
        <v>4.3971979415092566</v>
      </c>
      <c r="E25">
        <f t="shared" si="2"/>
        <v>3.813405671682057</v>
      </c>
      <c r="F25">
        <f t="shared" si="3"/>
        <v>0.58379226982719956</v>
      </c>
    </row>
    <row r="26" spans="1:6" x14ac:dyDescent="0.25">
      <c r="A26" s="1">
        <v>41061</v>
      </c>
      <c r="B26">
        <v>98806.399999999994</v>
      </c>
      <c r="C26">
        <f t="shared" si="0"/>
        <v>396374.4</v>
      </c>
      <c r="D26">
        <f t="shared" si="1"/>
        <v>3.9384573267578382</v>
      </c>
      <c r="E26">
        <f t="shared" si="2"/>
        <v>4.1491454391135214</v>
      </c>
      <c r="F26">
        <f t="shared" si="3"/>
        <v>-0.21068811235568319</v>
      </c>
    </row>
    <row r="27" spans="1:6" x14ac:dyDescent="0.25">
      <c r="A27" s="1">
        <v>41153</v>
      </c>
      <c r="B27">
        <v>98662.2</v>
      </c>
      <c r="C27">
        <f t="shared" si="0"/>
        <v>398788.89999999997</v>
      </c>
      <c r="D27">
        <f t="shared" si="1"/>
        <v>3.1594095226959551</v>
      </c>
      <c r="E27">
        <f t="shared" si="2"/>
        <v>4.2843496462881721</v>
      </c>
      <c r="F27">
        <f t="shared" si="3"/>
        <v>-1.124940123592217</v>
      </c>
    </row>
    <row r="28" spans="1:6" x14ac:dyDescent="0.25">
      <c r="A28" s="1">
        <v>41244</v>
      </c>
      <c r="B28">
        <v>103889.3</v>
      </c>
      <c r="C28">
        <f t="shared" si="0"/>
        <v>402359.3</v>
      </c>
      <c r="D28">
        <f t="shared" si="1"/>
        <v>3.1472845602068977</v>
      </c>
      <c r="E28">
        <f t="shared" si="2"/>
        <v>3.9850348359144032</v>
      </c>
      <c r="F28">
        <f t="shared" si="3"/>
        <v>-0.83775027570750549</v>
      </c>
    </row>
    <row r="29" spans="1:6" x14ac:dyDescent="0.25">
      <c r="A29" s="1">
        <v>41334</v>
      </c>
      <c r="B29">
        <v>103960.1024</v>
      </c>
      <c r="C29">
        <f t="shared" si="0"/>
        <v>405318.0024</v>
      </c>
      <c r="D29">
        <f t="shared" si="1"/>
        <v>2.9261423837275702</v>
      </c>
      <c r="E29">
        <f t="shared" si="2"/>
        <v>3.6605873377924869</v>
      </c>
      <c r="F29">
        <f t="shared" si="3"/>
        <v>-0.73444495406491672</v>
      </c>
    </row>
    <row r="30" spans="1:6" x14ac:dyDescent="0.25">
      <c r="A30" s="1">
        <v>41426</v>
      </c>
      <c r="B30">
        <v>103201.22930000001</v>
      </c>
      <c r="C30">
        <f t="shared" si="0"/>
        <v>409712.83169999998</v>
      </c>
      <c r="D30">
        <f t="shared" si="1"/>
        <v>3.3651092754728662</v>
      </c>
      <c r="E30">
        <f t="shared" si="2"/>
        <v>3.2928234483470655</v>
      </c>
      <c r="F30">
        <f t="shared" si="3"/>
        <v>7.2285827125800672E-2</v>
      </c>
    </row>
    <row r="31" spans="1:6" x14ac:dyDescent="0.25">
      <c r="A31" s="1">
        <v>41518</v>
      </c>
      <c r="B31">
        <v>102372.50810000001</v>
      </c>
      <c r="C31">
        <f t="shared" si="0"/>
        <v>413423.1398</v>
      </c>
      <c r="D31">
        <f t="shared" si="1"/>
        <v>3.6696707957518448</v>
      </c>
      <c r="E31">
        <f t="shared" si="2"/>
        <v>3.1494864355258225</v>
      </c>
      <c r="F31">
        <f t="shared" si="3"/>
        <v>0.52018436022602232</v>
      </c>
    </row>
    <row r="32" spans="1:6" x14ac:dyDescent="0.25">
      <c r="A32" s="1">
        <v>41609</v>
      </c>
      <c r="B32">
        <v>106849.3805</v>
      </c>
      <c r="C32">
        <f t="shared" si="0"/>
        <v>416383.22030000004</v>
      </c>
      <c r="D32">
        <f t="shared" si="1"/>
        <v>3.4854221836055688</v>
      </c>
      <c r="E32">
        <f t="shared" si="2"/>
        <v>3.2770517537897947</v>
      </c>
      <c r="F32">
        <f t="shared" si="3"/>
        <v>0.20837042981577403</v>
      </c>
    </row>
    <row r="33" spans="1:6" x14ac:dyDescent="0.25">
      <c r="A33" s="1">
        <v>41699</v>
      </c>
      <c r="B33">
        <v>108289.467</v>
      </c>
      <c r="C33">
        <f t="shared" si="0"/>
        <v>420712.58490000002</v>
      </c>
      <c r="D33">
        <f t="shared" si="1"/>
        <v>3.7981492084843138</v>
      </c>
      <c r="E33">
        <f t="shared" si="2"/>
        <v>3.3615861596394625</v>
      </c>
      <c r="F33">
        <f t="shared" si="3"/>
        <v>0.43656304884485131</v>
      </c>
    </row>
    <row r="34" spans="1:6" x14ac:dyDescent="0.25">
      <c r="A34" s="1">
        <v>41791</v>
      </c>
      <c r="B34">
        <v>107649.75199999999</v>
      </c>
      <c r="C34">
        <f t="shared" si="0"/>
        <v>425161.10759999999</v>
      </c>
      <c r="D34">
        <f t="shared" si="1"/>
        <v>3.7705130776356954</v>
      </c>
      <c r="E34">
        <f t="shared" si="2"/>
        <v>3.5795878658286489</v>
      </c>
      <c r="F34">
        <f t="shared" si="3"/>
        <v>0.19092521180704658</v>
      </c>
    </row>
    <row r="35" spans="1:6" x14ac:dyDescent="0.25">
      <c r="A35" s="1">
        <v>41883</v>
      </c>
      <c r="B35">
        <v>106782.8735</v>
      </c>
      <c r="C35">
        <f t="shared" si="0"/>
        <v>429571.473</v>
      </c>
      <c r="D35">
        <f t="shared" si="1"/>
        <v>3.9060061340088437</v>
      </c>
      <c r="E35">
        <f t="shared" si="2"/>
        <v>3.6809388163693555</v>
      </c>
      <c r="F35">
        <f t="shared" si="3"/>
        <v>0.22506731763948817</v>
      </c>
    </row>
    <row r="36" spans="1:6" x14ac:dyDescent="0.25">
      <c r="A36" s="1">
        <v>41974</v>
      </c>
      <c r="B36">
        <v>112165.1058</v>
      </c>
      <c r="C36">
        <f t="shared" si="0"/>
        <v>434887.19829999999</v>
      </c>
      <c r="D36">
        <f t="shared" si="1"/>
        <v>4.4439778304870226</v>
      </c>
      <c r="E36">
        <f t="shared" si="2"/>
        <v>3.7400226509336054</v>
      </c>
      <c r="F36">
        <f t="shared" si="3"/>
        <v>0.70395517955341713</v>
      </c>
    </row>
    <row r="37" spans="1:6" x14ac:dyDescent="0.25">
      <c r="A37" s="1">
        <v>42064</v>
      </c>
      <c r="B37">
        <v>113343.54459999999</v>
      </c>
      <c r="C37">
        <f t="shared" si="0"/>
        <v>439941.27590000001</v>
      </c>
      <c r="D37">
        <f t="shared" si="1"/>
        <v>4.5705053022291997</v>
      </c>
      <c r="E37">
        <f t="shared" si="2"/>
        <v>3.9796615626539689</v>
      </c>
      <c r="F37">
        <f t="shared" si="3"/>
        <v>0.59084373957523084</v>
      </c>
    </row>
    <row r="38" spans="1:6" x14ac:dyDescent="0.25">
      <c r="A38" s="1">
        <v>42156</v>
      </c>
      <c r="B38">
        <v>111016.0223</v>
      </c>
      <c r="C38">
        <f t="shared" si="0"/>
        <v>443307.54620000004</v>
      </c>
      <c r="D38">
        <f t="shared" si="1"/>
        <v>4.2681323092874646</v>
      </c>
      <c r="E38">
        <f t="shared" si="2"/>
        <v>4.1727505860901903</v>
      </c>
      <c r="F38">
        <f t="shared" si="3"/>
        <v>9.5381723197274226E-2</v>
      </c>
    </row>
    <row r="39" spans="1:6" x14ac:dyDescent="0.25">
      <c r="A39" s="1">
        <v>42248</v>
      </c>
      <c r="B39">
        <v>112035.39479999999</v>
      </c>
      <c r="C39">
        <f t="shared" si="0"/>
        <v>448560.0675</v>
      </c>
      <c r="D39">
        <f t="shared" si="1"/>
        <v>4.4203574244326083</v>
      </c>
      <c r="E39">
        <f t="shared" si="2"/>
        <v>4.2971553940031324</v>
      </c>
      <c r="F39">
        <f t="shared" si="3"/>
        <v>0.12320203042947586</v>
      </c>
    </row>
    <row r="40" spans="1:6" x14ac:dyDescent="0.25">
      <c r="A40" s="1">
        <v>42339</v>
      </c>
      <c r="B40">
        <v>116288.5631</v>
      </c>
      <c r="C40">
        <f t="shared" si="0"/>
        <v>452683.52480000001</v>
      </c>
      <c r="D40">
        <f t="shared" si="1"/>
        <v>4.0921706984171857</v>
      </c>
      <c r="E40">
        <f t="shared" si="2"/>
        <v>4.4257432166090735</v>
      </c>
      <c r="F40">
        <f t="shared" si="3"/>
        <v>-0.33357251819188782</v>
      </c>
    </row>
    <row r="41" spans="1:6" x14ac:dyDescent="0.25">
      <c r="A41" s="1">
        <v>42430</v>
      </c>
      <c r="B41">
        <v>115243.1134</v>
      </c>
      <c r="C41">
        <f t="shared" si="0"/>
        <v>454583.09360000002</v>
      </c>
      <c r="D41">
        <f t="shared" si="1"/>
        <v>3.3281300260010527</v>
      </c>
      <c r="E41">
        <f t="shared" si="2"/>
        <v>4.3377914335916143</v>
      </c>
      <c r="F41">
        <f t="shared" si="3"/>
        <v>-1.0096614075905617</v>
      </c>
    </row>
    <row r="42" spans="1:6" x14ac:dyDescent="0.25">
      <c r="A42" s="1">
        <v>42522</v>
      </c>
      <c r="B42">
        <v>115126.2594</v>
      </c>
      <c r="C42">
        <f t="shared" si="0"/>
        <v>458693.33069999993</v>
      </c>
      <c r="D42">
        <f t="shared" si="1"/>
        <v>3.4706795839334781</v>
      </c>
      <c r="E42">
        <f t="shared" si="2"/>
        <v>4.0271976145345771</v>
      </c>
      <c r="F42">
        <f t="shared" si="3"/>
        <v>-0.55651803060109906</v>
      </c>
    </row>
    <row r="43" spans="1:6" x14ac:dyDescent="0.25">
      <c r="A43" s="1">
        <v>42614</v>
      </c>
      <c r="B43">
        <v>114354.243</v>
      </c>
      <c r="C43">
        <f t="shared" si="0"/>
        <v>461012.1789</v>
      </c>
      <c r="D43">
        <f t="shared" si="1"/>
        <v>2.7760187101362854</v>
      </c>
      <c r="E43">
        <f t="shared" si="2"/>
        <v>3.827834433196081</v>
      </c>
      <c r="F43">
        <f t="shared" si="3"/>
        <v>-1.0518157230597955</v>
      </c>
    </row>
    <row r="44" spans="1:6" x14ac:dyDescent="0.25">
      <c r="A44" s="1">
        <v>42705</v>
      </c>
      <c r="B44">
        <v>120081.8809</v>
      </c>
      <c r="C44">
        <f t="shared" si="0"/>
        <v>464805.49670000002</v>
      </c>
      <c r="D44">
        <f t="shared" si="1"/>
        <v>2.67780275532572</v>
      </c>
      <c r="E44">
        <f t="shared" si="2"/>
        <v>3.4167497546220007</v>
      </c>
      <c r="F44">
        <f t="shared" si="3"/>
        <v>-0.73894699929628072</v>
      </c>
    </row>
    <row r="45" spans="1:6" x14ac:dyDescent="0.25">
      <c r="A45" s="1">
        <v>42795</v>
      </c>
      <c r="B45">
        <v>120681.26489999999</v>
      </c>
      <c r="C45">
        <f t="shared" si="0"/>
        <v>470243.6482</v>
      </c>
      <c r="D45">
        <f t="shared" si="1"/>
        <v>3.4450367425630901</v>
      </c>
      <c r="E45">
        <f t="shared" si="2"/>
        <v>3.063157768849134</v>
      </c>
      <c r="F45">
        <f t="shared" si="3"/>
        <v>0.38187897371395607</v>
      </c>
    </row>
    <row r="46" spans="1:6" x14ac:dyDescent="0.25">
      <c r="A46" s="1">
        <v>42887</v>
      </c>
      <c r="B46">
        <v>117992.10980000001</v>
      </c>
      <c r="C46">
        <f t="shared" si="0"/>
        <v>473109.49860000005</v>
      </c>
      <c r="D46">
        <f t="shared" si="1"/>
        <v>3.1428771545467971</v>
      </c>
      <c r="E46">
        <f t="shared" si="2"/>
        <v>3.0923844479896436</v>
      </c>
      <c r="F46">
        <f t="shared" si="3"/>
        <v>5.0492706557153433E-2</v>
      </c>
    </row>
    <row r="47" spans="1:6" x14ac:dyDescent="0.25">
      <c r="A47" s="1">
        <v>42979</v>
      </c>
      <c r="B47">
        <v>117906.12699999999</v>
      </c>
      <c r="C47">
        <f t="shared" si="0"/>
        <v>476661.38260000001</v>
      </c>
      <c r="D47">
        <f t="shared" si="1"/>
        <v>3.3945315148375954</v>
      </c>
      <c r="E47">
        <f t="shared" si="2"/>
        <v>3.0104338406429734</v>
      </c>
      <c r="F47">
        <f t="shared" si="3"/>
        <v>0.38409767419462204</v>
      </c>
    </row>
    <row r="48" spans="1:6" x14ac:dyDescent="0.25">
      <c r="A48" s="1">
        <v>43070</v>
      </c>
      <c r="B48">
        <v>122541.31299999999</v>
      </c>
      <c r="C48">
        <f t="shared" si="0"/>
        <v>479120.81469999999</v>
      </c>
      <c r="D48">
        <f t="shared" si="1"/>
        <v>3.0798512714748538</v>
      </c>
      <c r="E48">
        <f t="shared" si="2"/>
        <v>3.1650620418183006</v>
      </c>
      <c r="F48">
        <f t="shared" si="3"/>
        <v>-8.5210770343446818E-2</v>
      </c>
    </row>
    <row r="49" spans="1:6" x14ac:dyDescent="0.25">
      <c r="A49" s="1">
        <v>43160</v>
      </c>
      <c r="B49">
        <v>123947.76579999999</v>
      </c>
      <c r="C49">
        <f t="shared" si="0"/>
        <v>482387.31560000003</v>
      </c>
      <c r="D49">
        <f t="shared" si="1"/>
        <v>2.582420293497556</v>
      </c>
      <c r="E49">
        <f t="shared" si="2"/>
        <v>3.2655741708555839</v>
      </c>
      <c r="F49">
        <f t="shared" si="3"/>
        <v>-0.68315387735802791</v>
      </c>
    </row>
    <row r="50" spans="1:6" x14ac:dyDescent="0.25">
      <c r="A50" s="1">
        <v>43252</v>
      </c>
      <c r="B50">
        <v>123023.06110000001</v>
      </c>
      <c r="C50">
        <f t="shared" si="0"/>
        <v>487418.26689999999</v>
      </c>
      <c r="D50">
        <f t="shared" si="1"/>
        <v>3.0244094321381532</v>
      </c>
      <c r="E50">
        <f t="shared" si="2"/>
        <v>3.0499200585892003</v>
      </c>
      <c r="F50">
        <f t="shared" si="3"/>
        <v>-2.551062645104718E-2</v>
      </c>
    </row>
    <row r="51" spans="1:6" x14ac:dyDescent="0.25">
      <c r="A51" s="1">
        <v>43344</v>
      </c>
      <c r="B51">
        <v>122027.6174</v>
      </c>
      <c r="C51">
        <f t="shared" si="0"/>
        <v>491539.7573</v>
      </c>
      <c r="D51">
        <f t="shared" si="1"/>
        <v>3.1213719514772365</v>
      </c>
      <c r="E51">
        <f t="shared" si="2"/>
        <v>3.0203031279870398</v>
      </c>
      <c r="F51">
        <f t="shared" si="3"/>
        <v>0.10106882349019664</v>
      </c>
    </row>
    <row r="52" spans="1:6" x14ac:dyDescent="0.25">
      <c r="A52" s="1">
        <v>43435</v>
      </c>
      <c r="B52">
        <v>126445.4103</v>
      </c>
      <c r="C52">
        <f t="shared" si="0"/>
        <v>495443.85459999996</v>
      </c>
      <c r="D52">
        <f t="shared" si="1"/>
        <v>3.4068734647273891</v>
      </c>
      <c r="E52">
        <f t="shared" si="2"/>
        <v>2.9520132371469501</v>
      </c>
      <c r="F52">
        <f t="shared" si="3"/>
        <v>0.45486022758043898</v>
      </c>
    </row>
    <row r="53" spans="1:6" x14ac:dyDescent="0.25">
      <c r="A53" s="1">
        <v>43525</v>
      </c>
      <c r="B53">
        <v>128569.4599</v>
      </c>
      <c r="C53">
        <f t="shared" si="0"/>
        <v>500065.54870000004</v>
      </c>
      <c r="D53">
        <f t="shared" si="1"/>
        <v>3.6647383810272105</v>
      </c>
      <c r="E53">
        <f t="shared" si="2"/>
        <v>3.0337687854600839</v>
      </c>
      <c r="F53">
        <f t="shared" si="3"/>
        <v>0.63096959556712662</v>
      </c>
    </row>
    <row r="54" spans="1:6" x14ac:dyDescent="0.25">
      <c r="A54" s="1">
        <v>43617</v>
      </c>
      <c r="B54">
        <v>127741.5585</v>
      </c>
      <c r="C54">
        <f t="shared" si="0"/>
        <v>504784.04609999998</v>
      </c>
      <c r="D54">
        <f t="shared" si="1"/>
        <v>3.5628084500088697</v>
      </c>
      <c r="E54">
        <f t="shared" si="2"/>
        <v>3.3043483073424973</v>
      </c>
      <c r="F54">
        <f t="shared" si="3"/>
        <v>0.25846014266637241</v>
      </c>
    </row>
    <row r="55" spans="1:6" x14ac:dyDescent="0.25">
      <c r="A55" s="1">
        <v>43709</v>
      </c>
      <c r="B55">
        <v>126951.0665</v>
      </c>
      <c r="C55">
        <f t="shared" si="0"/>
        <v>509707.4952</v>
      </c>
      <c r="D55">
        <f t="shared" si="1"/>
        <v>3.6960871689798447</v>
      </c>
      <c r="E55">
        <f t="shared" si="2"/>
        <v>3.4389480618101764</v>
      </c>
      <c r="F55">
        <f t="shared" si="3"/>
        <v>0.25713910716966826</v>
      </c>
    </row>
    <row r="56" spans="1:6" x14ac:dyDescent="0.25">
      <c r="A56" s="1">
        <v>43800</v>
      </c>
      <c r="B56">
        <v>132088.19820000001</v>
      </c>
      <c r="C56">
        <f t="shared" si="0"/>
        <v>515350.2831</v>
      </c>
      <c r="D56">
        <f t="shared" si="1"/>
        <v>4.0178979545667515</v>
      </c>
      <c r="E56">
        <f t="shared" si="2"/>
        <v>3.5826268661858283</v>
      </c>
      <c r="F56">
        <f t="shared" si="3"/>
        <v>0.43527108838092321</v>
      </c>
    </row>
    <row r="57" spans="1:6" x14ac:dyDescent="0.25">
      <c r="A57" s="1">
        <v>43891</v>
      </c>
      <c r="B57">
        <v>129622.7911</v>
      </c>
      <c r="C57">
        <f t="shared" si="0"/>
        <v>516403.61430000002</v>
      </c>
      <c r="D57">
        <f t="shared" si="1"/>
        <v>3.2671848005673132</v>
      </c>
      <c r="E57">
        <f t="shared" si="2"/>
        <v>3.7353829886456689</v>
      </c>
      <c r="F57">
        <f t="shared" si="3"/>
        <v>-0.46819818807835567</v>
      </c>
    </row>
    <row r="58" spans="1:6" x14ac:dyDescent="0.25">
      <c r="A58" s="1">
        <v>43983</v>
      </c>
      <c r="B58">
        <v>115915.48</v>
      </c>
      <c r="C58">
        <f t="shared" si="0"/>
        <v>504577.53579999995</v>
      </c>
      <c r="D58">
        <f t="shared" si="1"/>
        <v>-4.0910623383516587E-2</v>
      </c>
      <c r="E58">
        <f t="shared" si="2"/>
        <v>3.635994593530695</v>
      </c>
      <c r="F58">
        <f t="shared" si="3"/>
        <v>-3.6769052169142116</v>
      </c>
    </row>
    <row r="59" spans="1:6" x14ac:dyDescent="0.25">
      <c r="A59" s="1">
        <v>44075</v>
      </c>
      <c r="B59">
        <v>125160.6939</v>
      </c>
      <c r="C59">
        <f t="shared" si="0"/>
        <v>502787.16320000001</v>
      </c>
      <c r="D59">
        <f t="shared" si="1"/>
        <v>-1.3577065405492195</v>
      </c>
      <c r="E59">
        <f t="shared" si="2"/>
        <v>2.7350648251825982</v>
      </c>
      <c r="F59">
        <f t="shared" si="3"/>
        <v>-4.0927713657318172</v>
      </c>
    </row>
    <row r="60" spans="1:6" x14ac:dyDescent="0.25">
      <c r="A60" s="1">
        <v>44166</v>
      </c>
      <c r="B60">
        <v>135449.47159999999</v>
      </c>
      <c r="C60">
        <f t="shared" si="0"/>
        <v>506148.43660000002</v>
      </c>
      <c r="D60">
        <f t="shared" si="1"/>
        <v>-1.7855518473081755</v>
      </c>
      <c r="E60">
        <f t="shared" si="2"/>
        <v>1.4716163978003323</v>
      </c>
      <c r="F60">
        <f t="shared" si="3"/>
        <v>-3.2571682451085078</v>
      </c>
    </row>
    <row r="61" spans="1:6" x14ac:dyDescent="0.25">
      <c r="A61" s="1">
        <v>44256</v>
      </c>
      <c r="B61">
        <v>135445.82260000001</v>
      </c>
      <c r="C61">
        <f t="shared" si="0"/>
        <v>511971.4681</v>
      </c>
      <c r="D61">
        <f t="shared" si="1"/>
        <v>-0.85827172337047397</v>
      </c>
      <c r="E61">
        <f t="shared" si="2"/>
        <v>2.0753947331600409E-2</v>
      </c>
      <c r="F61">
        <f t="shared" si="3"/>
        <v>-0.87902567070207438</v>
      </c>
    </row>
    <row r="62" spans="1:6" x14ac:dyDescent="0.25">
      <c r="A62" s="1">
        <v>44348</v>
      </c>
      <c r="B62">
        <v>133933.0338</v>
      </c>
      <c r="C62">
        <f t="shared" si="0"/>
        <v>529989.02190000005</v>
      </c>
      <c r="D62">
        <f t="shared" si="1"/>
        <v>5.0361905350603031</v>
      </c>
      <c r="E62">
        <f t="shared" si="2"/>
        <v>-1.0106101836528465</v>
      </c>
      <c r="F62">
        <f t="shared" si="3"/>
        <v>6.0468007187131496</v>
      </c>
    </row>
    <row r="63" spans="1:6" x14ac:dyDescent="0.25">
      <c r="A63" s="1">
        <v>44440</v>
      </c>
      <c r="B63">
        <v>135354.07699999999</v>
      </c>
      <c r="C63">
        <f t="shared" si="0"/>
        <v>540182.40500000003</v>
      </c>
      <c r="D63">
        <f t="shared" si="1"/>
        <v>7.4375888123310752</v>
      </c>
      <c r="E63">
        <f t="shared" si="2"/>
        <v>0.25866510595810865</v>
      </c>
      <c r="F63">
        <f t="shared" si="3"/>
        <v>7.1789237063729665</v>
      </c>
    </row>
    <row r="64" spans="1:6" x14ac:dyDescent="0.25">
      <c r="A64" s="1">
        <v>44531</v>
      </c>
      <c r="B64">
        <v>142118.46189999999</v>
      </c>
      <c r="C64">
        <f t="shared" si="0"/>
        <v>546851.39529999997</v>
      </c>
      <c r="D64">
        <f t="shared" si="1"/>
        <v>8.0417039265038284</v>
      </c>
      <c r="E64">
        <f t="shared" si="2"/>
        <v>2.4574889441781824</v>
      </c>
      <c r="F64">
        <f t="shared" si="3"/>
        <v>5.5842149823256459</v>
      </c>
    </row>
    <row r="65" spans="1:6" x14ac:dyDescent="0.25">
      <c r="A65" s="1">
        <v>44621</v>
      </c>
      <c r="B65">
        <v>141620.1588</v>
      </c>
      <c r="C65">
        <f t="shared" si="0"/>
        <v>553025.73149999999</v>
      </c>
      <c r="D65">
        <f t="shared" si="1"/>
        <v>8.0188576821201174</v>
      </c>
      <c r="E65">
        <f t="shared" si="2"/>
        <v>4.9143028876311829</v>
      </c>
      <c r="F65">
        <f t="shared" si="3"/>
        <v>3.1045547944889345</v>
      </c>
    </row>
    <row r="66" spans="1:6" x14ac:dyDescent="0.25">
      <c r="A66" s="1">
        <v>44713</v>
      </c>
      <c r="B66">
        <v>140336.37160000001</v>
      </c>
      <c r="C66">
        <f t="shared" si="0"/>
        <v>559429.06930000009</v>
      </c>
      <c r="D66">
        <f t="shared" si="1"/>
        <v>5.5548409841505775</v>
      </c>
      <c r="E66">
        <f t="shared" si="2"/>
        <v>7.133585239003831</v>
      </c>
      <c r="F66">
        <f t="shared" si="3"/>
        <v>-1.5787442548532535</v>
      </c>
    </row>
    <row r="67" spans="1:6" x14ac:dyDescent="0.25">
      <c r="A67" s="1">
        <v>44805</v>
      </c>
      <c r="B67">
        <v>140750.82430000001</v>
      </c>
      <c r="C67">
        <f t="shared" si="0"/>
        <v>564825.81660000002</v>
      </c>
      <c r="D67">
        <f t="shared" si="1"/>
        <v>4.5620537381257265</v>
      </c>
      <c r="E67">
        <f t="shared" si="2"/>
        <v>7.2632478512763994</v>
      </c>
      <c r="F67">
        <f t="shared" si="3"/>
        <v>-2.7011941131506729</v>
      </c>
    </row>
    <row r="68" spans="1:6" x14ac:dyDescent="0.25">
      <c r="A68" s="1">
        <v>44896</v>
      </c>
      <c r="B68">
        <v>147027.1361</v>
      </c>
      <c r="C68">
        <f t="shared" si="0"/>
        <v>569734.49080000003</v>
      </c>
      <c r="D68">
        <f t="shared" si="1"/>
        <v>4.1845180787088321</v>
      </c>
      <c r="E68">
        <f t="shared" si="2"/>
        <v>6.5443640827250622</v>
      </c>
      <c r="F68">
        <f t="shared" si="3"/>
        <v>-2.3598460040162301</v>
      </c>
    </row>
    <row r="69" spans="1:6" x14ac:dyDescent="0.25">
      <c r="A69" s="1">
        <v>44986</v>
      </c>
      <c r="B69">
        <v>147376.14619999999</v>
      </c>
      <c r="C69">
        <f t="shared" si="0"/>
        <v>575490.47820000001</v>
      </c>
      <c r="D69">
        <f t="shared" si="1"/>
        <v>4.0621521604551347</v>
      </c>
      <c r="E69">
        <f t="shared" si="2"/>
        <v>5.5800676207763136</v>
      </c>
      <c r="F69">
        <f t="shared" si="3"/>
        <v>-1.5179154603211789</v>
      </c>
    </row>
    <row r="70" spans="1:6" x14ac:dyDescent="0.25">
      <c r="A70" s="1">
        <v>45078</v>
      </c>
      <c r="B70">
        <v>146262.7224</v>
      </c>
      <c r="C70">
        <f t="shared" ref="C70:C79" si="4">SUM(B67:B70)</f>
        <v>581416.82899999991</v>
      </c>
      <c r="D70">
        <f t="shared" si="1"/>
        <v>3.9303927712431186</v>
      </c>
      <c r="E70">
        <f t="shared" si="2"/>
        <v>4.590891240360067</v>
      </c>
      <c r="F70">
        <f t="shared" si="3"/>
        <v>-0.66049846911694843</v>
      </c>
    </row>
    <row r="71" spans="1:6" x14ac:dyDescent="0.25">
      <c r="A71" s="1">
        <v>45170</v>
      </c>
      <c r="B71">
        <v>146465.405</v>
      </c>
      <c r="C71">
        <f t="shared" si="4"/>
        <v>587131.40969999996</v>
      </c>
      <c r="D71">
        <f t="shared" si="1"/>
        <v>3.9491100520634204</v>
      </c>
      <c r="E71">
        <f t="shared" si="2"/>
        <v>4.184779187133203</v>
      </c>
      <c r="F71">
        <f t="shared" si="3"/>
        <v>-0.2356691350697826</v>
      </c>
    </row>
    <row r="72" spans="1:6" x14ac:dyDescent="0.25">
      <c r="A72" s="1">
        <v>45261</v>
      </c>
      <c r="B72">
        <v>149759.83420000001</v>
      </c>
      <c r="C72">
        <f t="shared" si="4"/>
        <v>589864.1078</v>
      </c>
      <c r="D72">
        <f t="shared" si="1"/>
        <v>3.5331575189935682</v>
      </c>
      <c r="E72">
        <f t="shared" si="2"/>
        <v>4.0315432656176267</v>
      </c>
      <c r="F72">
        <f t="shared" si="3"/>
        <v>-0.49838574662405843</v>
      </c>
    </row>
    <row r="73" spans="1:6" x14ac:dyDescent="0.25">
      <c r="A73" s="1">
        <v>45352</v>
      </c>
      <c r="B73">
        <v>151618.99729999999</v>
      </c>
      <c r="C73">
        <f t="shared" si="4"/>
        <v>594106.95889999997</v>
      </c>
      <c r="D73">
        <f t="shared" si="1"/>
        <v>3.2348894386972304</v>
      </c>
      <c r="E73">
        <f t="shared" si="2"/>
        <v>3.8687031256888105</v>
      </c>
      <c r="F73">
        <f t="shared" si="3"/>
        <v>-0.63381368699158003</v>
      </c>
    </row>
    <row r="74" spans="1:6" x14ac:dyDescent="0.25">
      <c r="A74" s="1">
        <v>45444</v>
      </c>
      <c r="B74">
        <v>151723.47349999999</v>
      </c>
      <c r="C74">
        <f t="shared" si="4"/>
        <v>599567.71</v>
      </c>
      <c r="D74">
        <f t="shared" ref="D74:D79" si="5">((C74/C70)-1)*100</f>
        <v>3.1218361930146488</v>
      </c>
      <c r="E74">
        <f t="shared" si="2"/>
        <v>3.6618874452493344</v>
      </c>
      <c r="F74">
        <f t="shared" si="3"/>
        <v>-0.54005125223468564</v>
      </c>
    </row>
    <row r="75" spans="1:6" x14ac:dyDescent="0.25">
      <c r="A75" s="1">
        <v>45536</v>
      </c>
      <c r="B75">
        <v>151612.3855</v>
      </c>
      <c r="C75">
        <f t="shared" si="4"/>
        <v>604714.69049999991</v>
      </c>
      <c r="D75">
        <f t="shared" si="5"/>
        <v>2.9947777464306213</v>
      </c>
      <c r="E75">
        <f t="shared" si="2"/>
        <v>3.4597483006922172</v>
      </c>
      <c r="F75">
        <f t="shared" si="3"/>
        <v>-0.46497055426159584</v>
      </c>
    </row>
    <row r="76" spans="1:6" x14ac:dyDescent="0.25">
      <c r="A76" s="1">
        <v>45627</v>
      </c>
      <c r="B76">
        <v>156450.28539999999</v>
      </c>
      <c r="C76">
        <f t="shared" si="4"/>
        <v>611405.14170000004</v>
      </c>
      <c r="D76">
        <f t="shared" si="5"/>
        <v>3.6518638132333692</v>
      </c>
      <c r="E76">
        <f t="shared" si="2"/>
        <v>3.2211652242840172</v>
      </c>
      <c r="F76">
        <f t="shared" si="3"/>
        <v>0.43069858894935198</v>
      </c>
    </row>
    <row r="77" spans="1:6" x14ac:dyDescent="0.25">
      <c r="A77" s="1">
        <v>45717</v>
      </c>
      <c r="B77">
        <v>157608.74119999999</v>
      </c>
      <c r="C77">
        <f t="shared" si="4"/>
        <v>617394.88559999992</v>
      </c>
      <c r="D77">
        <f t="shared" si="5"/>
        <v>3.9198205560692312</v>
      </c>
      <c r="E77">
        <f t="shared" si="2"/>
        <v>3.2508417978439672</v>
      </c>
      <c r="F77">
        <f t="shared" si="3"/>
        <v>0.66897875822526398</v>
      </c>
    </row>
    <row r="78" spans="1:6" x14ac:dyDescent="0.25">
      <c r="A78" s="1">
        <v>45809</v>
      </c>
      <c r="B78">
        <v>157896.3389</v>
      </c>
      <c r="C78">
        <f t="shared" si="4"/>
        <v>623567.75100000005</v>
      </c>
      <c r="D78">
        <f t="shared" si="5"/>
        <v>4.0028908494755377</v>
      </c>
      <c r="E78">
        <f t="shared" ref="E78:E79" si="6">AVERAGE(D74:D77)</f>
        <v>3.4220745771869674</v>
      </c>
      <c r="F78">
        <f t="shared" ref="F78:F79" si="7">D78-E78</f>
        <v>0.58081627228857036</v>
      </c>
    </row>
    <row r="79" spans="1:6" x14ac:dyDescent="0.25">
      <c r="A79" s="1">
        <v>45901</v>
      </c>
      <c r="B79">
        <v>158057.41070000001</v>
      </c>
      <c r="C79">
        <f t="shared" si="4"/>
        <v>630012.77619999996</v>
      </c>
      <c r="D79">
        <f t="shared" si="5"/>
        <v>4.1834746364575182</v>
      </c>
      <c r="E79">
        <f t="shared" si="6"/>
        <v>3.6423382413021899</v>
      </c>
      <c r="F79">
        <f t="shared" si="7"/>
        <v>0.5411363951553283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Quarterly_data</vt:lpstr>
      <vt:lpstr>flow</vt:lpstr>
      <vt:lpstr>stock</vt:lpstr>
      <vt:lpstr>i</vt:lpstr>
      <vt:lpstr>cpi</vt:lpstr>
      <vt:lpstr>ola_check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Giovany Orenos Rodriguez</dc:creator>
  <cp:lastModifiedBy>JGOR</cp:lastModifiedBy>
  <dcterms:created xsi:type="dcterms:W3CDTF">2026-03-25T21:29:42Z</dcterms:created>
  <dcterms:modified xsi:type="dcterms:W3CDTF">2026-03-25T21:29:55Z</dcterms:modified>
</cp:coreProperties>
</file>